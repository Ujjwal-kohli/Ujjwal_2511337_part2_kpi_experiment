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BITSOM_UJJWAL\New folder\Ujjwal_2511337_part2_kpi_experiment\Output\"/>
    </mc:Choice>
  </mc:AlternateContent>
  <xr:revisionPtr revIDLastSave="0" documentId="13_ncr:1_{666F273F-A58F-4463-AF04-5C6C35491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5" r:id="rId1"/>
    <sheet name="Overall Summary" sheetId="1" r:id="rId2"/>
    <sheet name="Region Analysis_x0009_" sheetId="7" r:id="rId3"/>
    <sheet name="Device Analysis_x0009_" sheetId="8" r:id="rId4"/>
    <sheet name="Traffic Source Analysis_x0009_" sheetId="9" r:id="rId5"/>
    <sheet name="Hypothesis_test" sheetId="6" r:id="rId6"/>
  </sheets>
  <definedNames>
    <definedName name="_xlnm._FilterDatabase" localSheetId="0" hidden="1">Raw_Data!$A$1:$P$1409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6" l="1"/>
  <c r="C13" i="6"/>
  <c r="C12" i="6"/>
  <c r="C11" i="6"/>
  <c r="C10" i="6"/>
  <c r="C9" i="6"/>
  <c r="C8" i="6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<sst xmlns="http://schemas.openxmlformats.org/spreadsheetml/2006/main" count="8518" uniqueCount="1473">
  <si>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</si>
  <si>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</si>
  <si>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</si>
  <si>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</si>
  <si>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</si>
  <si>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</si>
  <si>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</si>
  <si>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</si>
  <si>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</si>
  <si>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</si>
  <si>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</si>
  <si>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</si>
  <si>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</si>
  <si>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</si>
  <si>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</si>
  <si>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</si>
  <si>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</si>
  <si>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</si>
  <si>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</si>
  <si>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</si>
  <si>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</si>
  <si>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</si>
  <si>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</si>
  <si>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</si>
  <si>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</si>
  <si>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</si>
  <si>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</si>
  <si>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</si>
  <si>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</si>
  <si>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</si>
  <si>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</si>
  <si>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</si>
  <si>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</si>
  <si>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</si>
  <si>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</si>
  <si>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</si>
  <si>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</si>
  <si>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</si>
  <si>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</si>
  <si>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</si>
  <si>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</si>
  <si>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</si>
  <si>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</si>
  <si>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</si>
  <si>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</si>
  <si>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</si>
  <si>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</si>
  <si>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</si>
  <si>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</si>
  <si>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</si>
  <si>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</si>
  <si>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</si>
  <si>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</si>
  <si>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</si>
  <si>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</si>
  <si>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</si>
  <si>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</si>
  <si>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</si>
  <si>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</si>
  <si>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</si>
  <si>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</si>
  <si>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</si>
  <si>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</si>
  <si>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</si>
  <si>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</si>
  <si>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</si>
  <si>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</si>
  <si>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</si>
  <si>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</si>
  <si>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</si>
  <si>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</si>
  <si>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</si>
  <si>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</si>
  <si>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</si>
  <si>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</si>
  <si>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</si>
  <si>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</si>
  <si>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</si>
  <si>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</si>
  <si>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</si>
  <si>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</si>
  <si>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</si>
  <si>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</si>
  <si>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</si>
  <si>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</si>
  <si>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</si>
  <si>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</si>
  <si>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</si>
  <si>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</si>
  <si>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</si>
  <si>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</si>
  <si>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</si>
  <si>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</si>
  <si>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</si>
  <si>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</si>
  <si>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</si>
  <si>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</si>
  <si>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</si>
  <si>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</si>
  <si>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</si>
  <si>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</si>
  <si>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</si>
  <si>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</si>
  <si>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</si>
  <si>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</si>
  <si>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</si>
  <si>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</si>
  <si>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</si>
  <si>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</si>
  <si>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</si>
  <si>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</si>
  <si>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</si>
  <si>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</si>
  <si>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</si>
  <si>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</si>
  <si>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</si>
  <si>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</si>
  <si>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</si>
  <si>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</si>
  <si>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</si>
  <si>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</si>
  <si>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</si>
  <si>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</si>
  <si>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</si>
  <si>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</si>
  <si>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</si>
  <si>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</si>
  <si>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</si>
  <si>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</si>
  <si>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</si>
  <si>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</si>
  <si>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</si>
  <si>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</si>
  <si>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</si>
  <si>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</si>
  <si>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</si>
  <si>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</si>
  <si>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</si>
  <si>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</si>
  <si>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</si>
  <si>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</si>
  <si>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</si>
  <si>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</si>
  <si>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</si>
  <si>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</si>
  <si>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</si>
  <si>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</si>
  <si>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</si>
  <si>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</si>
  <si>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</si>
  <si>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</si>
  <si>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</si>
  <si>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</si>
  <si>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</si>
  <si>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</si>
  <si>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</si>
  <si>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</si>
  <si>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</si>
  <si>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</si>
  <si>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</si>
  <si>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</si>
  <si>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</si>
  <si>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</si>
  <si>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</si>
  <si>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</si>
  <si>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</si>
  <si>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</si>
  <si>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</si>
  <si>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</si>
  <si>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</si>
  <si>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</si>
  <si>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</si>
  <si>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</si>
  <si>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</si>
  <si>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</si>
  <si>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</si>
  <si>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</si>
  <si>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</si>
  <si>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</si>
  <si>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</si>
  <si>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</si>
  <si>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</si>
  <si>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</si>
  <si>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</si>
  <si>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</si>
  <si>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</si>
  <si>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</si>
  <si>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</si>
  <si>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</si>
  <si>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</si>
  <si>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</si>
  <si>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</si>
  <si>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</si>
  <si>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</si>
  <si>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</si>
  <si>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</si>
  <si>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</si>
  <si>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</si>
  <si>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</si>
  <si>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</si>
  <si>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</si>
  <si>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</si>
  <si>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</si>
  <si>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</si>
  <si>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</si>
  <si>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</si>
  <si>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</si>
  <si>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</si>
  <si>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</si>
  <si>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</si>
  <si>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</si>
  <si>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</si>
  <si>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</si>
  <si>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</si>
  <si>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</si>
  <si>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</si>
  <si>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</si>
  <si>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</si>
  <si>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</si>
  <si>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</si>
  <si>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</si>
  <si>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</si>
  <si>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</si>
  <si>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</si>
  <si>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</si>
  <si>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</si>
  <si>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</si>
  <si>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</si>
  <si>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</si>
  <si>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</si>
  <si>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</si>
  <si>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</si>
  <si>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</si>
  <si>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</si>
  <si>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</si>
  <si>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</si>
  <si>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</si>
  <si>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</si>
  <si>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</si>
  <si>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</si>
  <si>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</si>
  <si>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</si>
  <si>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</si>
  <si>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</si>
  <si>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</si>
  <si>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</si>
  <si>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</si>
  <si>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</si>
  <si>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</si>
  <si>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</si>
  <si>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</si>
  <si>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</si>
  <si>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</si>
  <si>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</si>
  <si>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</si>
  <si>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</si>
  <si>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</si>
  <si>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</si>
  <si>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</si>
  <si>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</si>
  <si>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</si>
  <si>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</si>
  <si>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</si>
  <si>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</si>
  <si>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</si>
  <si>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</si>
  <si>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</si>
  <si>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</si>
  <si>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</si>
  <si>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</si>
  <si>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</si>
  <si>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</si>
  <si>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</si>
  <si>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</si>
  <si>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</si>
  <si>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</si>
  <si>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</si>
  <si>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</si>
  <si>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</si>
  <si>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</si>
  <si>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</si>
  <si>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</si>
  <si>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</si>
  <si>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</si>
  <si>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</si>
  <si>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</si>
  <si>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</si>
  <si>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</si>
  <si>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</si>
  <si>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</si>
  <si>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</si>
  <si>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</si>
  <si>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</si>
  <si>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</si>
  <si>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</si>
  <si>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</si>
  <si>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</si>
  <si>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</si>
  <si>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</si>
  <si>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</si>
  <si>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</si>
  <si>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</si>
  <si>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</si>
  <si>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</si>
  <si>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</si>
  <si>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</si>
  <si>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</si>
  <si>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</si>
  <si>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</si>
  <si>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</si>
  <si>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</si>
  <si>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</si>
  <si>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</si>
  <si>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</si>
  <si>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</si>
  <si>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</si>
  <si>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</si>
  <si>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</si>
  <si>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</si>
  <si>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</si>
  <si>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</si>
  <si>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</si>
  <si>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</si>
  <si>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</si>
  <si>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</si>
  <si>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</si>
  <si>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</si>
  <si>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</si>
  <si>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</si>
  <si>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</si>
  <si>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</si>
  <si>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</si>
  <si>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</si>
  <si>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</si>
  <si>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</si>
  <si>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</si>
  <si>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</si>
  <si>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</si>
  <si>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</si>
  <si>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</si>
  <si>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</si>
  <si>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</si>
  <si>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</si>
  <si>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</si>
  <si>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</si>
  <si>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</si>
  <si>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</si>
  <si>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</si>
  <si>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</si>
  <si>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</si>
  <si>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</si>
  <si>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</si>
  <si>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</si>
  <si>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</si>
  <si>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</si>
  <si>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</si>
  <si>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</si>
  <si>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</si>
  <si>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</si>
  <si>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</si>
  <si>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</si>
  <si>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</si>
  <si>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</si>
  <si>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</si>
  <si>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</si>
  <si>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</si>
  <si>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</si>
  <si>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</si>
  <si>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</si>
  <si>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</si>
  <si>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</si>
  <si>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</si>
  <si>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</si>
  <si>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</si>
  <si>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</si>
  <si>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</si>
  <si>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</si>
  <si>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</si>
  <si>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</si>
  <si>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</si>
  <si>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</si>
  <si>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</si>
  <si>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</si>
  <si>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</si>
  <si>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</si>
  <si>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</si>
  <si>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</si>
  <si>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</si>
  <si>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</si>
  <si>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</si>
  <si>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</si>
  <si>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</si>
  <si>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</si>
  <si>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</si>
  <si>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</si>
  <si>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</si>
  <si>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</si>
  <si>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</si>
  <si>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</si>
  <si>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</si>
  <si>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</si>
  <si>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</si>
  <si>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</si>
  <si>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</si>
  <si>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</si>
  <si>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</si>
  <si>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</si>
  <si>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</si>
  <si>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</si>
  <si>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</si>
  <si>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</si>
  <si>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</si>
  <si>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</si>
  <si>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</si>
  <si>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</si>
  <si>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</si>
  <si>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</si>
  <si>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</si>
  <si>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</si>
  <si>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</si>
  <si>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</si>
  <si>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</si>
  <si>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</si>
  <si>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</si>
  <si>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</si>
  <si>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</si>
  <si>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</si>
  <si>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</si>
  <si>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</si>
  <si>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</si>
  <si>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</si>
  <si>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</si>
  <si>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</si>
  <si>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</si>
  <si>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</si>
  <si>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</si>
  <si>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</si>
  <si>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</si>
  <si>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</si>
  <si>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</si>
  <si>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</si>
  <si>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</si>
  <si>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</si>
  <si>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</si>
  <si>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</si>
  <si>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</si>
  <si>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</si>
  <si>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</si>
  <si>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</si>
  <si>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</si>
  <si>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</si>
  <si>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</si>
  <si>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</si>
  <si>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</si>
  <si>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</si>
  <si>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</si>
  <si>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</si>
  <si>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</si>
  <si>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</si>
  <si>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</si>
  <si>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</si>
  <si>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</si>
  <si>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</si>
  <si>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</si>
  <si>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</si>
  <si>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</si>
  <si>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</si>
  <si>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</si>
  <si>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</si>
  <si>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</si>
  <si>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</si>
  <si>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</si>
  <si>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</si>
  <si>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</si>
  <si>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</si>
  <si>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</si>
  <si>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</si>
  <si>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</si>
  <si>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</si>
  <si>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</si>
  <si>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</si>
  <si>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</si>
  <si>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</si>
  <si>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</si>
  <si>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</si>
  <si>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</si>
  <si>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</si>
  <si>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</si>
  <si>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</si>
  <si>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</si>
  <si>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</si>
  <si>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</si>
  <si>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</si>
  <si>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</si>
  <si>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</si>
  <si>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</si>
  <si>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</si>
  <si>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</si>
  <si>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</si>
  <si>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</si>
  <si>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</si>
  <si>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</si>
  <si>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</si>
  <si>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</si>
  <si>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</si>
  <si>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</si>
  <si>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</si>
  <si>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</si>
  <si>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</si>
  <si>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</si>
  <si>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</si>
  <si>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</si>
  <si>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</si>
  <si>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</si>
  <si>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</si>
  <si>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</si>
  <si>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</si>
  <si>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</si>
  <si>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</si>
  <si>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</si>
  <si>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</si>
  <si>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</si>
  <si>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</si>
  <si>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</si>
  <si>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</si>
  <si>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</si>
  <si>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</si>
  <si>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</si>
  <si>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</si>
  <si>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</si>
  <si>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</si>
  <si>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</si>
  <si>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</si>
  <si>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</si>
  <si>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</si>
  <si>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</si>
  <si>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</si>
  <si>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</si>
  <si>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</si>
  <si>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</si>
  <si>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</si>
  <si>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</si>
  <si>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</si>
  <si>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</si>
  <si>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</si>
  <si>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</si>
  <si>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</si>
  <si>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</si>
  <si>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</si>
  <si>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</si>
  <si>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</si>
  <si>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</si>
  <si>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</si>
  <si>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</si>
  <si>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</si>
  <si>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</si>
  <si>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</si>
  <si>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</si>
  <si>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</si>
  <si>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</si>
  <si>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</si>
  <si>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</si>
  <si>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</si>
  <si>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</si>
  <si>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</si>
  <si>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</si>
  <si>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</si>
  <si>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</si>
  <si>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</si>
  <si>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</si>
  <si>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</si>
  <si>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</si>
  <si>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</si>
  <si>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</si>
  <si>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</si>
  <si>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</si>
  <si>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</si>
  <si>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</si>
  <si>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</si>
  <si>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</si>
  <si>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</si>
  <si>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</si>
  <si>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</si>
  <si>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</si>
  <si>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</si>
  <si>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</si>
  <si>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</si>
  <si>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</si>
  <si>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</si>
  <si>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</si>
  <si>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</si>
  <si>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</si>
  <si>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</si>
  <si>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</si>
  <si>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</si>
  <si>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</si>
  <si>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</si>
  <si>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</si>
  <si>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</si>
  <si>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</si>
  <si>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</si>
  <si>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</si>
  <si>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</si>
  <si>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</si>
  <si>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</si>
  <si>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</si>
  <si>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</si>
  <si>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</si>
  <si>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</si>
  <si>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</si>
  <si>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</si>
  <si>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</si>
  <si>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</si>
  <si>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</si>
  <si>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</si>
  <si>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</si>
  <si>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</si>
  <si>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</si>
  <si>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</si>
  <si>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</si>
  <si>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</si>
  <si>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</si>
  <si>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</si>
  <si>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</si>
  <si>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</si>
  <si>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</si>
  <si>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</si>
  <si>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</si>
  <si>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</si>
  <si>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</si>
  <si>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</si>
  <si>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</si>
  <si>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</si>
  <si>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</si>
  <si>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</si>
  <si>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</si>
  <si>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</si>
  <si>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</si>
  <si>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</si>
  <si>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</si>
  <si>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</si>
  <si>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</si>
  <si>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</si>
  <si>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</si>
  <si>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</si>
  <si>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</si>
  <si>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</si>
  <si>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</si>
  <si>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</si>
  <si>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</si>
  <si>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</si>
  <si>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</si>
  <si>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</si>
  <si>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</si>
  <si>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</si>
  <si>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</si>
  <si>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</si>
  <si>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</si>
  <si>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</si>
  <si>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</si>
  <si>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</si>
  <si>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</si>
  <si>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</si>
  <si>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</si>
  <si>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</si>
  <si>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</si>
  <si>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</si>
  <si>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</si>
  <si>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</si>
  <si>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</si>
  <si>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</si>
  <si>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</si>
  <si>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</si>
  <si>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</si>
  <si>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</si>
  <si>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</si>
  <si>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</si>
  <si>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</si>
  <si>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</si>
  <si>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</si>
  <si>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</si>
  <si>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</si>
  <si>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</si>
  <si>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</si>
  <si>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</si>
  <si>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</si>
  <si>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</si>
  <si>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</si>
  <si>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</si>
  <si>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</si>
  <si>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</si>
  <si>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</si>
  <si>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</si>
  <si>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</si>
  <si>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</si>
  <si>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</si>
  <si>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</si>
  <si>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</si>
  <si>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</si>
  <si>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</si>
  <si>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</si>
  <si>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</si>
  <si>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</si>
  <si>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</si>
  <si>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</si>
  <si>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</si>
  <si>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</si>
  <si>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</si>
  <si>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</si>
  <si>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</si>
  <si>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</si>
  <si>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</si>
  <si>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</si>
  <si>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</si>
  <si>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</si>
  <si>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</si>
  <si>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</si>
  <si>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</si>
  <si>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</si>
  <si>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</si>
  <si>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</si>
  <si>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</si>
  <si>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</si>
  <si>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</si>
  <si>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</si>
  <si>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</si>
  <si>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</si>
  <si>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</si>
  <si>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</si>
  <si>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</si>
  <si>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</si>
  <si>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</si>
  <si>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</si>
  <si>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</si>
  <si>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</si>
  <si>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</si>
  <si>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</si>
  <si>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</si>
  <si>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</si>
  <si>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</si>
  <si>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</si>
  <si>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</si>
  <si>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</si>
  <si>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</si>
  <si>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</si>
  <si>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</si>
  <si>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</si>
  <si>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</si>
  <si>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</si>
  <si>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</si>
  <si>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</si>
  <si>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</si>
  <si>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</si>
  <si>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</si>
  <si>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</si>
  <si>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</si>
  <si>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</si>
  <si>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</si>
  <si>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</si>
  <si>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</si>
  <si>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</si>
  <si>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</si>
  <si>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</si>
  <si>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</si>
  <si>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</si>
  <si>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</si>
  <si>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</si>
  <si>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</si>
  <si>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</si>
  <si>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</si>
  <si>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</si>
  <si>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</si>
  <si>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</si>
  <si>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</si>
  <si>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</si>
  <si>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</si>
  <si>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</si>
  <si>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</si>
  <si>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</si>
  <si>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</si>
  <si>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</si>
  <si>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</si>
  <si>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</si>
  <si>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</si>
  <si>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</si>
  <si>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</si>
  <si>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</si>
  <si>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</si>
  <si>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</si>
  <si>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</si>
  <si>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</si>
  <si>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</si>
  <si>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</si>
  <si>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</si>
  <si>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</si>
  <si>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</si>
  <si>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</si>
  <si>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</si>
  <si>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</si>
  <si>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</si>
  <si>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</si>
  <si>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</si>
  <si>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</si>
  <si>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</si>
  <si>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</si>
  <si>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</si>
  <si>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</si>
  <si>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</si>
  <si>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</si>
  <si>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</si>
  <si>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</si>
  <si>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</si>
  <si>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</si>
  <si>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</si>
  <si>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</si>
  <si>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</si>
  <si>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</si>
  <si>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</si>
  <si>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</si>
  <si>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</si>
  <si>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</si>
  <si>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</si>
  <si>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</si>
  <si>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</si>
  <si>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</si>
  <si>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</si>
  <si>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</si>
  <si>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</si>
  <si>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</si>
  <si>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</si>
  <si>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</si>
  <si>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</si>
  <si>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</si>
  <si>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</si>
  <si>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</si>
  <si>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</si>
  <si>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</si>
  <si>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</si>
  <si>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</si>
  <si>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</si>
  <si>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</si>
  <si>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</si>
  <si>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</si>
  <si>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</si>
  <si>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</si>
  <si>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</si>
  <si>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</si>
  <si>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</si>
  <si>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</si>
  <si>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</si>
  <si>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</si>
  <si>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</si>
  <si>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</si>
  <si>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</si>
  <si>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</si>
  <si>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</si>
  <si>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</si>
  <si>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</si>
  <si>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</si>
  <si>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</si>
  <si>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</si>
  <si>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</si>
  <si>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</si>
  <si>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</si>
  <si>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</si>
  <si>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</si>
  <si>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</si>
  <si>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</si>
  <si>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</si>
  <si>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</si>
  <si>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</si>
  <si>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</si>
  <si>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</si>
  <si>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</si>
  <si>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</si>
  <si>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</si>
  <si>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</si>
  <si>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</si>
  <si>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</si>
  <si>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</si>
  <si>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</si>
  <si>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</si>
  <si>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</si>
  <si>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</si>
  <si>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</si>
  <si>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</si>
  <si>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</si>
  <si>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</si>
  <si>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</si>
  <si>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</si>
  <si>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</si>
  <si>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</si>
  <si>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</si>
  <si>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</si>
  <si>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</si>
  <si>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</si>
  <si>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</si>
  <si>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</si>
  <si>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</si>
  <si>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</si>
  <si>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</si>
  <si>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</si>
  <si>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</si>
  <si>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</si>
  <si>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</si>
  <si>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</si>
  <si>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</si>
  <si>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</si>
  <si>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</si>
  <si>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</si>
  <si>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</si>
  <si>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</si>
  <si>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</si>
  <si>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</si>
  <si>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</si>
  <si>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</si>
  <si>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</si>
  <si>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</si>
  <si>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</si>
  <si>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</si>
  <si>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</si>
  <si>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</si>
  <si>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</si>
  <si>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</si>
  <si>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</si>
  <si>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</si>
  <si>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</si>
  <si>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</si>
  <si>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</si>
  <si>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</si>
  <si>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</si>
  <si>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</si>
  <si>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</si>
  <si>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</si>
  <si>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</si>
  <si>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</si>
  <si>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</si>
  <si>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</si>
  <si>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</si>
  <si>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</si>
  <si>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</si>
  <si>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</si>
  <si>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</si>
  <si>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</si>
  <si>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</si>
  <si>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</si>
  <si>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</si>
  <si>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</si>
  <si>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</si>
  <si>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</si>
  <si>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</si>
  <si>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</si>
  <si>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</si>
  <si>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</si>
  <si>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</si>
  <si>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</si>
  <si>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</si>
  <si>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</si>
  <si>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</si>
  <si>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</si>
  <si>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</si>
  <si>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</si>
  <si>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</si>
  <si>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</si>
  <si>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</si>
  <si>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</si>
  <si>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</si>
  <si>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</si>
  <si>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</si>
  <si>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</si>
  <si>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</si>
  <si>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</si>
  <si>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</si>
  <si>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</si>
  <si>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</si>
  <si>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</si>
  <si>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</si>
  <si>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</si>
  <si>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</si>
  <si>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</si>
  <si>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</si>
  <si>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</si>
  <si>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</si>
  <si>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</si>
  <si>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</si>
  <si>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</si>
  <si>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</si>
  <si>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</si>
  <si>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</si>
  <si>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</si>
  <si>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</si>
  <si>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</si>
  <si>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</si>
  <si>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</si>
  <si>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</si>
  <si>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</si>
  <si>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</si>
  <si>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</si>
  <si>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</si>
  <si>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</si>
  <si>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</si>
  <si>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</si>
  <si>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</si>
  <si>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</si>
  <si>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</si>
  <si>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</si>
  <si>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</si>
  <si>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</si>
  <si>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</si>
  <si>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</si>
  <si>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</si>
  <si>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</si>
  <si>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</si>
  <si>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</si>
  <si>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</si>
  <si>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</si>
  <si>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</si>
  <si>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</si>
  <si>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</si>
  <si>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</si>
  <si>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</si>
  <si>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</si>
  <si>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</si>
  <si>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</si>
  <si>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</si>
  <si>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</si>
  <si>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</si>
  <si>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</si>
  <si>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</si>
  <si>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</si>
  <si>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</si>
  <si>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</si>
  <si>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</si>
  <si>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</si>
  <si>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</si>
  <si>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</si>
  <si>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</si>
  <si>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</si>
  <si>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</si>
  <si>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</si>
  <si>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</si>
  <si>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</si>
  <si>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</si>
  <si>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</si>
  <si>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</si>
  <si>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</si>
  <si>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</si>
  <si>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</si>
  <si>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</si>
  <si>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</si>
  <si>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</si>
  <si>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</si>
  <si>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</si>
  <si>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</si>
  <si>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</si>
  <si>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</si>
  <si>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</si>
  <si>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</si>
  <si>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</si>
  <si>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</si>
  <si>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</si>
  <si>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</si>
  <si>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</si>
  <si>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</si>
  <si>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</si>
  <si>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</si>
  <si>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</si>
  <si>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</si>
  <si>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</si>
  <si>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</si>
  <si>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</si>
  <si>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</si>
  <si>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</si>
  <si>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</si>
  <si>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</si>
  <si>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</si>
  <si>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</si>
  <si>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</si>
  <si>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</si>
  <si>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</si>
  <si>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</si>
  <si>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</si>
  <si>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</si>
  <si>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</si>
  <si>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</si>
  <si>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</si>
  <si>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</si>
  <si>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</si>
  <si>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</si>
  <si>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</si>
  <si>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</si>
  <si>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</si>
  <si>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</si>
  <si>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</si>
  <si>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</si>
  <si>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</si>
  <si>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</si>
  <si>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</si>
  <si>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</si>
  <si>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</si>
  <si>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</si>
  <si>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</si>
  <si>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</si>
  <si>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</si>
  <si>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</si>
  <si>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</si>
  <si>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</si>
  <si>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</si>
  <si>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</si>
  <si>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</si>
  <si>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</si>
  <si>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</si>
  <si>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</si>
  <si>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</si>
  <si>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</si>
  <si>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</si>
  <si>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</si>
  <si>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</si>
  <si>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</si>
  <si>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</si>
  <si>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</si>
  <si>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</si>
  <si>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</si>
  <si>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</si>
  <si>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</si>
  <si>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</si>
  <si>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</si>
  <si>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</si>
  <si>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</si>
  <si>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</si>
  <si>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</si>
  <si>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</si>
  <si>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</si>
  <si>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</si>
  <si>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</si>
  <si>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</si>
  <si>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</si>
  <si>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</si>
  <si>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</si>
  <si>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</si>
  <si>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</si>
  <si>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</si>
  <si>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</si>
  <si>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</si>
  <si>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</si>
  <si>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</si>
  <si>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</si>
  <si>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</si>
  <si>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</si>
  <si>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</si>
  <si>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</si>
  <si>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</si>
  <si>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</si>
  <si>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</si>
  <si>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</si>
  <si>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</si>
  <si>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</si>
  <si>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</si>
  <si>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</si>
  <si>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</si>
  <si>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</si>
  <si>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</si>
  <si>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</si>
  <si>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</si>
  <si>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</si>
  <si>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</si>
  <si>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</si>
  <si>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</si>
  <si>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</si>
  <si>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</si>
  <si>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</si>
  <si>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</si>
  <si>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</si>
  <si>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</si>
  <si>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</si>
  <si>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</si>
  <si>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</si>
  <si>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</si>
  <si>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</si>
  <si>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</si>
  <si>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</si>
  <si>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</si>
  <si>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</si>
  <si>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</si>
  <si>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</si>
  <si>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</si>
  <si>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</si>
  <si>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</si>
  <si>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</si>
  <si>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</si>
  <si>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</si>
  <si>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</si>
  <si>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</si>
  <si>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</si>
  <si>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</si>
  <si>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</si>
  <si>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</si>
  <si>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</si>
  <si>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</si>
  <si>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</si>
  <si>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</si>
  <si>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</si>
  <si>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</si>
  <si>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</si>
  <si>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</si>
  <si>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</si>
  <si>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</si>
  <si>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</si>
  <si>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</si>
  <si>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</si>
  <si>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</si>
  <si>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</si>
  <si>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</si>
  <si>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</si>
  <si>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</si>
  <si>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</si>
  <si>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</si>
  <si>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</si>
  <si>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</si>
  <si>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</si>
  <si>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</si>
  <si>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</si>
  <si>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</si>
  <si>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</si>
  <si>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</si>
  <si>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</si>
  <si>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</si>
  <si>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</si>
  <si>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</si>
  <si>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</si>
  <si>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</si>
  <si>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</si>
  <si>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</si>
  <si>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</si>
  <si>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</si>
  <si>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</si>
  <si>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</si>
  <si>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</si>
  <si>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</si>
  <si>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</si>
  <si>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</si>
  <si>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</si>
  <si>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</si>
  <si>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</si>
  <si>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</si>
  <si>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</si>
  <si>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</si>
  <si>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</si>
  <si>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</si>
  <si>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</si>
  <si>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</si>
  <si>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</si>
  <si>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</si>
  <si>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</si>
  <si>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</si>
  <si>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</si>
  <si>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</si>
  <si>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</si>
  <si>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</si>
  <si>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</si>
  <si>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</si>
  <si>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</si>
  <si>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</si>
  <si>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</si>
  <si>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</si>
  <si>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</si>
  <si>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</si>
  <si>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</si>
  <si>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</si>
  <si>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</si>
  <si>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</si>
  <si>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</si>
  <si>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</si>
  <si>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</si>
  <si>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</si>
  <si>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</si>
  <si>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</si>
  <si>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</si>
  <si>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</si>
  <si>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</si>
  <si>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</si>
  <si>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</si>
  <si>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</si>
  <si>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</si>
  <si>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</si>
  <si>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</si>
  <si>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</si>
  <si>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</si>
  <si>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</si>
  <si>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</si>
  <si>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</si>
  <si>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</si>
  <si>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</si>
  <si>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</si>
  <si>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</si>
  <si>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</si>
  <si>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</si>
  <si>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</si>
  <si>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</si>
  <si>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</si>
  <si>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</si>
  <si>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</si>
  <si>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</si>
  <si>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</si>
  <si>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</si>
  <si>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</si>
  <si>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</si>
  <si>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</si>
  <si>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</si>
  <si>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</si>
  <si>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</si>
  <si>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</si>
  <si>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</si>
  <si>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</si>
  <si>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</si>
  <si>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</si>
  <si>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</si>
  <si>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</si>
  <si>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</si>
  <si>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</si>
  <si>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</si>
  <si>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</si>
  <si>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</si>
  <si>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</si>
  <si>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</si>
  <si>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</si>
  <si>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</si>
  <si>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</si>
  <si>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</si>
  <si>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</si>
  <si>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</si>
  <si>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</si>
  <si>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</si>
  <si>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</si>
  <si>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</si>
  <si>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</si>
  <si>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</si>
  <si>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</si>
  <si>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</si>
  <si>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</si>
  <si>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</si>
  <si>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</si>
  <si>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</si>
  <si>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</si>
  <si>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</si>
  <si>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</si>
  <si>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</si>
  <si>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</si>
  <si>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</si>
  <si>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</si>
  <si>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</si>
  <si>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</si>
  <si>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</si>
  <si>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</si>
  <si>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</si>
  <si>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</si>
  <si>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</si>
  <si>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</si>
  <si>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</si>
  <si>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</si>
  <si>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</si>
  <si>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</si>
  <si>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</si>
  <si>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</si>
  <si>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</si>
  <si>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</si>
  <si>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</si>
  <si>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</si>
  <si>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</si>
  <si>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</si>
  <si>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</si>
  <si>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</si>
  <si>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</si>
  <si>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</si>
  <si>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</si>
  <si>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</si>
  <si>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</si>
  <si>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</si>
  <si>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</si>
  <si>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</si>
  <si>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</si>
  <si>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</si>
  <si>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</si>
  <si>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</si>
  <si>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</si>
  <si>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</si>
  <si>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</si>
  <si>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</si>
  <si>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</si>
  <si>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</si>
  <si>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</si>
  <si>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</si>
  <si>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</si>
  <si>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</si>
  <si>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</si>
  <si>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</si>
  <si>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</si>
  <si>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</si>
  <si>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</si>
  <si>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</si>
  <si>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</si>
  <si>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</si>
  <si>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</si>
  <si>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</si>
  <si>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</si>
  <si>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</si>
  <si>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</si>
  <si>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</si>
  <si>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</si>
  <si>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</si>
  <si>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</si>
  <si>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</si>
  <si>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</si>
  <si>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</si>
  <si>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</si>
  <si>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</si>
  <si>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</si>
  <si>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</si>
  <si>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</si>
  <si>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</si>
  <si>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</si>
  <si>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</si>
  <si>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</si>
  <si>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</si>
  <si>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</si>
  <si>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</si>
  <si>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</si>
  <si>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</si>
  <si>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</si>
  <si>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</si>
  <si>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</si>
  <si>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</si>
  <si>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</si>
  <si>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</si>
  <si>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</si>
  <si>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</si>
  <si>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</si>
  <si>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</si>
  <si>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</si>
  <si>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</si>
  <si>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</si>
  <si>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</si>
  <si>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</si>
  <si>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</si>
  <si>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</si>
  <si>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</si>
  <si>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</si>
  <si>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Column Labels</t>
  </si>
  <si>
    <t>Count of user_id</t>
  </si>
  <si>
    <t>Total Count of user_id</t>
  </si>
  <si>
    <t>Total Count of converted_to_paid</t>
  </si>
  <si>
    <t>Count of converted_to_paid</t>
  </si>
  <si>
    <t>Total Average of revenue_30d</t>
  </si>
  <si>
    <t>Average of revenue_30d</t>
  </si>
  <si>
    <t>Total Average of engagement_score</t>
  </si>
  <si>
    <t>Average of engagement_score</t>
  </si>
  <si>
    <t>Region Analysis</t>
  </si>
  <si>
    <t>(blank)</t>
  </si>
  <si>
    <t>Device Analysis</t>
  </si>
  <si>
    <t>Values</t>
  </si>
  <si>
    <t>Control user</t>
  </si>
  <si>
    <t>Treatment User</t>
  </si>
  <si>
    <t>Control Success</t>
  </si>
  <si>
    <t>Treatment success</t>
  </si>
  <si>
    <t>Hypothesis Test</t>
  </si>
  <si>
    <t>Control proportion</t>
  </si>
  <si>
    <t>Treatment proportion</t>
  </si>
  <si>
    <t>Pooled proportion</t>
  </si>
  <si>
    <t>Standard error</t>
  </si>
  <si>
    <t>Z-score</t>
  </si>
  <si>
    <t>p- value (one tailed)</t>
  </si>
  <si>
    <t>Decision</t>
  </si>
  <si>
    <t>Traffic source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</si>
</sst>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1"/>
      <color rgb="FFFFFFFF"/>
      <name val="Carlito"/>
    </font>
    <font>
      <sz val="8"/>
      <name val="Mangal"/>
      <family val="2"/>
      <scheme val="minor"/>
    </font>
    <font>
      <sz val="20"/>
      <color rgb="FFFF0000"/>
      <name val="Mangal"/>
      <family val="2"/>
      <scheme val="minor"/>
    </font>
    <font>
      <sz val="19"/>
      <color rgb="FFFF0000"/>
      <name val="Mangal"/>
      <family val="1"/>
      <scheme val="minor"/>
    </font>
    <font>
      <sz val="11"/>
      <color rgb="FFFF0000"/>
      <name val="Manga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3" borderId="1" xfId="0" applyFill="1" applyBorder="1"/>
    <xf numFmtId="2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0" fillId="3" borderId="4" xfId="0" applyFill="1" applyBorder="1"/>
    <xf numFmtId="0" fontId="0" fillId="3" borderId="5" xfId="0" applyFill="1" applyBorder="1"/>
    <xf numFmtId="0" fontId="0" fillId="0" borderId="2" xfId="0" applyBorder="1"/>
    <xf numFmtId="10" fontId="0" fillId="0" borderId="2" xfId="1" applyNumberFormat="1" applyFont="1" applyBorder="1"/>
    <xf numFmtId="10" fontId="0" fillId="0" borderId="3" xfId="1" applyNumberFormat="1" applyFont="1" applyBorder="1"/>
    <xf numFmtId="0" fontId="0" fillId="3" borderId="2" xfId="0" applyFill="1" applyBorder="1"/>
    <xf numFmtId="10" fontId="0" fillId="3" borderId="2" xfId="1" applyNumberFormat="1" applyFont="1" applyFill="1" applyBorder="1"/>
    <xf numFmtId="10" fontId="0" fillId="3" borderId="3" xfId="1" applyNumberFormat="1" applyFont="1" applyFill="1" applyBorder="1"/>
    <xf numFmtId="2" fontId="0" fillId="0" borderId="2" xfId="0" applyNumberFormat="1" applyBorder="1"/>
    <xf numFmtId="2" fontId="0" fillId="0" borderId="3" xfId="0" applyNumberFormat="1" applyBorder="1"/>
    <xf numFmtId="2" fontId="0" fillId="3" borderId="2" xfId="0" applyNumberFormat="1" applyFill="1" applyBorder="1"/>
    <xf numFmtId="2" fontId="0" fillId="3" borderId="3" xfId="0" applyNumberFormat="1" applyFill="1" applyBorder="1"/>
    <xf numFmtId="0" fontId="0" fillId="3" borderId="6" xfId="0" applyFill="1" applyBorder="1"/>
    <xf numFmtId="2" fontId="0" fillId="3" borderId="6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9.635789004627" createdVersion="8" refreshedVersion="8" minRefreshableVersion="3" recordCount="1408" xr:uid="{1E093D4C-4289-4E81-ABFF-51C562829D51}">
  <cacheSource type="worksheet">
    <worksheetSource ref="A1:P1409" sheet="Raw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x v="0"/>
    <n v="0"/>
    <n v="0"/>
    <n v="0"/>
    <m/>
    <n v="45.7"/>
  </r>
  <r>
    <s v="USR-100002"/>
    <d v="2025-03-08T00:00:00"/>
    <x v="0"/>
    <x v="1"/>
    <x v="1"/>
    <x v="1"/>
    <s v="Free"/>
    <n v="1"/>
    <n v="0"/>
    <n v="0"/>
    <x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x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x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x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x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x v="0"/>
    <n v="0"/>
    <n v="0"/>
    <n v="0"/>
    <m/>
    <n v="57.1"/>
  </r>
  <r>
    <s v="USR-100008"/>
    <d v="2025-05-17T00:00:00"/>
    <x v="0"/>
    <x v="3"/>
    <x v="1"/>
    <x v="2"/>
    <s v="Free"/>
    <n v="0"/>
    <n v="0"/>
    <n v="0"/>
    <x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x v="0"/>
    <n v="0"/>
    <n v="0"/>
    <n v="0"/>
    <m/>
    <n v="55.4"/>
  </r>
  <r>
    <s v="USR-100010"/>
    <d v="2025-05-29T00:00:00"/>
    <x v="0"/>
    <x v="1"/>
    <x v="0"/>
    <x v="4"/>
    <s v="Free"/>
    <n v="1"/>
    <n v="0"/>
    <n v="0"/>
    <x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x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x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x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x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x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x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x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x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x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x v="0"/>
    <n v="0"/>
    <n v="2"/>
    <n v="0"/>
    <m/>
    <n v="60.9"/>
  </r>
  <r>
    <s v="USR-100021"/>
    <d v="2025-04-13T00:00:00"/>
    <x v="0"/>
    <x v="2"/>
    <x v="1"/>
    <x v="4"/>
    <s v="Free"/>
    <n v="1"/>
    <n v="0"/>
    <n v="0"/>
    <x v="0"/>
    <n v="0"/>
    <n v="0"/>
    <n v="0"/>
    <m/>
    <n v="62.7"/>
  </r>
  <r>
    <s v="USR-100022"/>
    <d v="2025-05-07T00:00:00"/>
    <x v="0"/>
    <x v="0"/>
    <x v="0"/>
    <x v="2"/>
    <s v="Free"/>
    <n v="0"/>
    <n v="0"/>
    <n v="0"/>
    <x v="0"/>
    <n v="0"/>
    <n v="0"/>
    <n v="0"/>
    <m/>
    <n v="52.7"/>
  </r>
  <r>
    <s v="USR-100023"/>
    <d v="2025-05-25T00:00:00"/>
    <x v="0"/>
    <x v="0"/>
    <x v="0"/>
    <x v="1"/>
    <s v="Free"/>
    <n v="0"/>
    <n v="0"/>
    <n v="0"/>
    <x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x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x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x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x v="0"/>
    <n v="0"/>
    <n v="0"/>
    <n v="0"/>
    <m/>
    <n v="58.8"/>
  </r>
  <r>
    <s v="USR-100028"/>
    <d v="2025-05-30T00:00:00"/>
    <x v="0"/>
    <x v="3"/>
    <x v="1"/>
    <x v="1"/>
    <s v="Free"/>
    <n v="1"/>
    <n v="0"/>
    <n v="0"/>
    <x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x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x v="0"/>
    <n v="0"/>
    <n v="0"/>
    <n v="0"/>
    <m/>
    <n v="41"/>
  </r>
  <r>
    <s v="USR-100031"/>
    <d v="2025-02-18T00:00:00"/>
    <x v="0"/>
    <x v="3"/>
    <x v="1"/>
    <x v="1"/>
    <s v="Basic"/>
    <n v="1"/>
    <n v="0"/>
    <n v="0"/>
    <x v="0"/>
    <n v="0"/>
    <n v="0"/>
    <n v="0"/>
    <m/>
    <n v="80.3"/>
  </r>
  <r>
    <s v="USR-100032"/>
    <d v="2025-02-13T00:00:00"/>
    <x v="0"/>
    <x v="2"/>
    <x v="1"/>
    <x v="1"/>
    <s v="Free"/>
    <n v="0"/>
    <n v="0"/>
    <n v="0"/>
    <x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x v="0"/>
    <n v="0"/>
    <n v="0"/>
    <n v="0"/>
    <m/>
    <n v="64"/>
  </r>
  <r>
    <s v="USR-100034"/>
    <d v="2025-01-11T00:00:00"/>
    <x v="0"/>
    <x v="0"/>
    <x v="1"/>
    <x v="2"/>
    <s v="Free"/>
    <n v="1"/>
    <n v="1"/>
    <n v="0"/>
    <x v="0"/>
    <n v="0"/>
    <n v="0"/>
    <n v="0"/>
    <m/>
    <n v="27.2"/>
  </r>
  <r>
    <s v="USR-100035"/>
    <d v="2025-02-12T00:00:00"/>
    <x v="0"/>
    <x v="0"/>
    <x v="0"/>
    <x v="1"/>
    <s v="Free"/>
    <n v="1"/>
    <n v="0"/>
    <n v="0"/>
    <x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x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x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x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x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x v="0"/>
    <n v="0"/>
    <n v="0"/>
    <n v="0"/>
    <m/>
    <n v="51.5"/>
  </r>
  <r>
    <s v="USR-100041"/>
    <d v="2025-03-31T00:00:00"/>
    <x v="0"/>
    <x v="0"/>
    <x v="0"/>
    <x v="1"/>
    <s v="Free"/>
    <n v="0"/>
    <n v="0"/>
    <n v="0"/>
    <x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x v="0"/>
    <n v="0"/>
    <n v="0"/>
    <n v="0"/>
    <m/>
    <n v="55.6"/>
  </r>
  <r>
    <s v="USR-100043"/>
    <d v="2025-02-14T00:00:00"/>
    <x v="0"/>
    <x v="3"/>
    <x v="0"/>
    <x v="1"/>
    <s v="Free"/>
    <n v="0"/>
    <n v="0"/>
    <n v="0"/>
    <x v="0"/>
    <n v="0"/>
    <n v="0"/>
    <n v="0"/>
    <m/>
    <n v="73"/>
  </r>
  <r>
    <s v="USR-100044"/>
    <d v="2025-02-27T00:00:00"/>
    <x v="0"/>
    <x v="2"/>
    <x v="1"/>
    <x v="0"/>
    <s v="Free"/>
    <n v="1"/>
    <n v="0"/>
    <n v="0"/>
    <x v="0"/>
    <n v="0"/>
    <n v="0"/>
    <n v="0"/>
    <m/>
    <n v="65"/>
  </r>
  <r>
    <s v="USR-100045"/>
    <d v="2025-03-28T00:00:00"/>
    <x v="0"/>
    <x v="2"/>
    <x v="1"/>
    <x v="4"/>
    <s v="Free"/>
    <n v="1"/>
    <n v="0"/>
    <n v="0"/>
    <x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x v="0"/>
    <n v="0"/>
    <n v="0"/>
    <n v="0"/>
    <m/>
    <n v="62.4"/>
  </r>
  <r>
    <s v="USR-100047"/>
    <d v="2025-05-05T00:00:00"/>
    <x v="0"/>
    <x v="1"/>
    <x v="0"/>
    <x v="1"/>
    <s v="Free"/>
    <n v="1"/>
    <n v="1"/>
    <n v="1"/>
    <x v="0"/>
    <n v="0"/>
    <n v="0"/>
    <n v="0"/>
    <m/>
    <n v="58.1"/>
  </r>
  <r>
    <s v="USR-100048"/>
    <d v="2025-05-16T00:00:00"/>
    <x v="0"/>
    <x v="0"/>
    <x v="1"/>
    <x v="1"/>
    <s v="Free"/>
    <n v="1"/>
    <n v="1"/>
    <n v="1"/>
    <x v="0"/>
    <n v="0"/>
    <n v="0"/>
    <n v="0"/>
    <m/>
    <n v="80.8"/>
  </r>
  <r>
    <s v="USR-100049"/>
    <d v="2025-01-08T00:00:00"/>
    <x v="0"/>
    <x v="0"/>
    <x v="1"/>
    <x v="4"/>
    <s v="Free"/>
    <n v="1"/>
    <n v="1"/>
    <n v="0"/>
    <x v="0"/>
    <n v="0"/>
    <n v="0"/>
    <n v="0"/>
    <m/>
    <n v="42.9"/>
  </r>
  <r>
    <s v="USR-100050"/>
    <d v="2025-01-06T00:00:00"/>
    <x v="0"/>
    <x v="1"/>
    <x v="0"/>
    <x v="2"/>
    <s v="Free"/>
    <n v="1"/>
    <n v="0"/>
    <n v="0"/>
    <x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x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x v="0"/>
    <n v="0"/>
    <n v="0"/>
    <n v="0"/>
    <m/>
    <n v="63"/>
  </r>
  <r>
    <s v="USR-100053"/>
    <d v="2025-03-10T00:00:00"/>
    <x v="0"/>
    <x v="3"/>
    <x v="2"/>
    <x v="1"/>
    <s v="Free"/>
    <n v="0"/>
    <n v="0"/>
    <n v="0"/>
    <x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x v="0"/>
    <n v="0"/>
    <n v="0"/>
    <n v="0"/>
    <m/>
    <n v="49.6"/>
  </r>
  <r>
    <s v="USR-100055"/>
    <d v="2025-02-19T00:00:00"/>
    <x v="0"/>
    <x v="3"/>
    <x v="1"/>
    <x v="1"/>
    <s v="Free"/>
    <n v="0"/>
    <n v="0"/>
    <n v="0"/>
    <x v="0"/>
    <n v="0"/>
    <n v="0"/>
    <n v="0"/>
    <m/>
    <n v="54"/>
  </r>
  <r>
    <s v="USR-100056"/>
    <d v="2025-05-17T00:00:00"/>
    <x v="0"/>
    <x v="3"/>
    <x v="1"/>
    <x v="4"/>
    <s v="Basic"/>
    <n v="1"/>
    <n v="0"/>
    <n v="0"/>
    <x v="0"/>
    <n v="0"/>
    <n v="2"/>
    <n v="0"/>
    <m/>
    <n v="50"/>
  </r>
  <r>
    <s v="USR-100057"/>
    <d v="2025-04-01T00:00:00"/>
    <x v="0"/>
    <x v="2"/>
    <x v="1"/>
    <x v="4"/>
    <s v="Basic"/>
    <n v="0"/>
    <n v="0"/>
    <n v="0"/>
    <x v="0"/>
    <n v="0"/>
    <n v="0"/>
    <n v="0"/>
    <m/>
    <n v="48.1"/>
  </r>
  <r>
    <s v="USR-100058"/>
    <d v="2025-02-04T00:00:00"/>
    <x v="0"/>
    <x v="0"/>
    <x v="0"/>
    <x v="1"/>
    <s v="Free"/>
    <n v="1"/>
    <n v="0"/>
    <n v="0"/>
    <x v="0"/>
    <n v="0"/>
    <n v="0"/>
    <n v="0"/>
    <m/>
    <n v="49.6"/>
  </r>
  <r>
    <s v="USR-100059"/>
    <d v="2025-04-14T00:00:00"/>
    <x v="0"/>
    <x v="0"/>
    <x v="1"/>
    <x v="4"/>
    <s v="Free"/>
    <n v="0"/>
    <n v="0"/>
    <n v="0"/>
    <x v="0"/>
    <n v="0"/>
    <n v="2"/>
    <n v="0"/>
    <m/>
    <n v="48.9"/>
  </r>
  <r>
    <s v="USR-100060"/>
    <d v="2025-01-01T00:00:00"/>
    <x v="0"/>
    <x v="1"/>
    <x v="1"/>
    <x v="4"/>
    <s v="Free"/>
    <n v="1"/>
    <n v="1"/>
    <n v="1"/>
    <x v="1"/>
    <n v="240.42"/>
    <n v="0"/>
    <n v="0"/>
    <n v="16"/>
    <n v="56.5"/>
  </r>
  <r>
    <s v="USR-100061"/>
    <d v="2025-04-02T00:00:00"/>
    <x v="0"/>
    <x v="3"/>
    <x v="1"/>
    <x v="3"/>
    <s v="Free"/>
    <n v="1"/>
    <n v="0"/>
    <n v="0"/>
    <x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x v="0"/>
    <n v="0"/>
    <n v="0"/>
    <n v="0"/>
    <m/>
    <n v="62.2"/>
  </r>
  <r>
    <s v="USR-100063"/>
    <d v="2025-05-15T00:00:00"/>
    <x v="0"/>
    <x v="3"/>
    <x v="0"/>
    <x v="1"/>
    <s v="Free"/>
    <n v="1"/>
    <n v="0"/>
    <n v="0"/>
    <x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x v="0"/>
    <n v="0"/>
    <n v="0"/>
    <n v="0"/>
    <m/>
    <n v="74.3"/>
  </r>
  <r>
    <s v="USR-100065"/>
    <d v="2025-03-07T00:00:00"/>
    <x v="0"/>
    <x v="3"/>
    <x v="0"/>
    <x v="2"/>
    <s v="Free"/>
    <n v="1"/>
    <n v="0"/>
    <n v="0"/>
    <x v="0"/>
    <n v="0"/>
    <n v="0"/>
    <n v="0"/>
    <m/>
    <n v="58"/>
  </r>
  <r>
    <s v="USR-100066"/>
    <d v="2025-05-30T00:00:00"/>
    <x v="0"/>
    <x v="3"/>
    <x v="1"/>
    <x v="1"/>
    <s v="Free"/>
    <n v="0"/>
    <n v="0"/>
    <n v="0"/>
    <x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x v="0"/>
    <n v="0"/>
    <n v="1"/>
    <n v="0"/>
    <m/>
    <n v="49.6"/>
  </r>
  <r>
    <s v="USR-100068"/>
    <d v="2025-05-08T00:00:00"/>
    <x v="0"/>
    <x v="1"/>
    <x v="1"/>
    <x v="4"/>
    <s v="Free"/>
    <n v="0"/>
    <n v="0"/>
    <n v="0"/>
    <x v="0"/>
    <n v="0"/>
    <n v="0"/>
    <n v="0"/>
    <m/>
    <n v="60.4"/>
  </r>
  <r>
    <s v="USR-100069"/>
    <d v="2025-03-19T00:00:00"/>
    <x v="0"/>
    <x v="2"/>
    <x v="0"/>
    <x v="0"/>
    <s v="Free"/>
    <n v="1"/>
    <n v="1"/>
    <n v="1"/>
    <x v="0"/>
    <n v="0"/>
    <n v="0"/>
    <n v="0"/>
    <m/>
    <n v="55.3"/>
  </r>
  <r>
    <s v="USR-100070"/>
    <d v="2025-05-16T00:00:00"/>
    <x v="0"/>
    <x v="0"/>
    <x v="0"/>
    <x v="1"/>
    <s v="Free"/>
    <n v="0"/>
    <n v="0"/>
    <n v="0"/>
    <x v="0"/>
    <n v="0"/>
    <n v="0"/>
    <n v="0"/>
    <m/>
    <n v="56.2"/>
  </r>
  <r>
    <s v="USR-100071"/>
    <d v="2025-03-08T00:00:00"/>
    <x v="0"/>
    <x v="1"/>
    <x v="1"/>
    <x v="0"/>
    <s v="Free"/>
    <n v="0"/>
    <n v="0"/>
    <n v="0"/>
    <x v="0"/>
    <n v="0"/>
    <n v="0"/>
    <n v="0"/>
    <m/>
    <n v="29.4"/>
  </r>
  <r>
    <s v="USR-100072"/>
    <d v="2025-03-08T00:00:00"/>
    <x v="0"/>
    <x v="2"/>
    <x v="1"/>
    <x v="0"/>
    <s v="Free"/>
    <n v="1"/>
    <n v="0"/>
    <n v="0"/>
    <x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x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x v="0"/>
    <n v="0"/>
    <n v="0"/>
    <n v="0"/>
    <m/>
    <n v="54.5"/>
  </r>
  <r>
    <s v="USR-100075"/>
    <d v="2025-03-17T00:00:00"/>
    <x v="0"/>
    <x v="0"/>
    <x v="1"/>
    <x v="1"/>
    <s v="Free"/>
    <n v="0"/>
    <n v="0"/>
    <n v="0"/>
    <x v="0"/>
    <n v="0"/>
    <n v="0"/>
    <n v="0"/>
    <m/>
    <n v="58.5"/>
  </r>
  <r>
    <s v="USR-100076"/>
    <d v="2025-01-09T00:00:00"/>
    <x v="0"/>
    <x v="3"/>
    <x v="1"/>
    <x v="0"/>
    <s v="Free"/>
    <n v="0"/>
    <n v="0"/>
    <n v="0"/>
    <x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x v="0"/>
    <n v="0"/>
    <n v="1"/>
    <n v="0"/>
    <m/>
    <n v="84.9"/>
  </r>
  <r>
    <s v="USR-100078"/>
    <d v="2025-01-16T00:00:00"/>
    <x v="0"/>
    <x v="0"/>
    <x v="1"/>
    <x v="1"/>
    <s v="Free"/>
    <n v="0"/>
    <n v="0"/>
    <n v="0"/>
    <x v="0"/>
    <n v="0"/>
    <n v="2"/>
    <n v="0"/>
    <m/>
    <n v="48.4"/>
  </r>
  <r>
    <s v="USR-100079"/>
    <d v="2025-02-20T00:00:00"/>
    <x v="0"/>
    <x v="1"/>
    <x v="0"/>
    <x v="1"/>
    <s v="Free"/>
    <n v="1"/>
    <n v="1"/>
    <n v="1"/>
    <x v="1"/>
    <n v="457.51"/>
    <n v="0"/>
    <n v="0"/>
    <n v="7"/>
    <n v="38"/>
  </r>
  <r>
    <s v="USR-100080"/>
    <d v="2025-05-21T00:00:00"/>
    <x v="0"/>
    <x v="2"/>
    <x v="1"/>
    <x v="4"/>
    <s v="Free"/>
    <n v="1"/>
    <n v="0"/>
    <n v="0"/>
    <x v="0"/>
    <n v="0"/>
    <n v="0"/>
    <n v="0"/>
    <m/>
    <n v="44.2"/>
  </r>
  <r>
    <s v="USR-100081"/>
    <d v="2025-05-08T00:00:00"/>
    <x v="0"/>
    <x v="3"/>
    <x v="1"/>
    <x v="1"/>
    <s v="Free"/>
    <n v="1"/>
    <n v="1"/>
    <n v="1"/>
    <x v="0"/>
    <n v="0"/>
    <n v="0"/>
    <n v="0"/>
    <m/>
    <n v="81.2"/>
  </r>
  <r>
    <s v="USR-100082"/>
    <d v="2025-03-08T00:00:00"/>
    <x v="0"/>
    <x v="3"/>
    <x v="1"/>
    <x v="3"/>
    <s v="Free"/>
    <n v="1"/>
    <n v="1"/>
    <n v="0"/>
    <x v="0"/>
    <n v="0"/>
    <n v="0"/>
    <n v="0"/>
    <m/>
    <n v="63.8"/>
  </r>
  <r>
    <s v="USR-100083"/>
    <d v="2025-04-01T00:00:00"/>
    <x v="0"/>
    <x v="3"/>
    <x v="0"/>
    <x v="0"/>
    <s v="Free"/>
    <n v="0"/>
    <n v="0"/>
    <n v="0"/>
    <x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x v="0"/>
    <n v="0"/>
    <n v="0"/>
    <n v="0"/>
    <m/>
    <n v="60.4"/>
  </r>
  <r>
    <s v="USR-100085"/>
    <d v="2025-04-16T00:00:00"/>
    <x v="0"/>
    <x v="3"/>
    <x v="1"/>
    <x v="2"/>
    <s v="Free"/>
    <n v="0"/>
    <n v="0"/>
    <n v="0"/>
    <x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x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x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x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x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x v="0"/>
    <n v="0"/>
    <n v="0"/>
    <n v="0"/>
    <m/>
    <n v="54.5"/>
  </r>
  <r>
    <s v="USR-100091"/>
    <d v="2025-04-23T00:00:00"/>
    <x v="0"/>
    <x v="3"/>
    <x v="0"/>
    <x v="1"/>
    <s v="Free"/>
    <n v="1"/>
    <n v="0"/>
    <n v="0"/>
    <x v="0"/>
    <n v="0"/>
    <n v="0"/>
    <n v="0"/>
    <m/>
    <n v="72.2"/>
  </r>
  <r>
    <s v="USR-100092"/>
    <d v="2025-02-27T00:00:00"/>
    <x v="0"/>
    <x v="3"/>
    <x v="1"/>
    <x v="4"/>
    <s v="Free"/>
    <n v="1"/>
    <n v="0"/>
    <n v="0"/>
    <x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x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x v="0"/>
    <n v="0"/>
    <n v="1"/>
    <n v="0"/>
    <m/>
    <n v="37.4"/>
  </r>
  <r>
    <s v="USR-100095"/>
    <d v="2025-04-13T00:00:00"/>
    <x v="0"/>
    <x v="2"/>
    <x v="1"/>
    <x v="1"/>
    <s v="Free"/>
    <n v="0"/>
    <n v="0"/>
    <n v="0"/>
    <x v="0"/>
    <n v="0"/>
    <n v="0"/>
    <n v="0"/>
    <m/>
    <n v="84.2"/>
  </r>
  <r>
    <s v="USR-100096"/>
    <d v="2025-02-05T00:00:00"/>
    <x v="0"/>
    <x v="2"/>
    <x v="1"/>
    <x v="4"/>
    <s v="Free"/>
    <n v="0"/>
    <n v="0"/>
    <n v="0"/>
    <x v="0"/>
    <n v="0"/>
    <n v="0"/>
    <n v="0"/>
    <m/>
    <n v="68"/>
  </r>
  <r>
    <s v="USR-100097"/>
    <d v="2025-02-14T00:00:00"/>
    <x v="0"/>
    <x v="1"/>
    <x v="1"/>
    <x v="1"/>
    <s v="Basic"/>
    <n v="1"/>
    <n v="0"/>
    <n v="0"/>
    <x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x v="0"/>
    <n v="0"/>
    <n v="0"/>
    <n v="0"/>
    <m/>
    <n v="63.2"/>
  </r>
  <r>
    <s v="USR-100099"/>
    <d v="2025-02-11T00:00:00"/>
    <x v="0"/>
    <x v="2"/>
    <x v="0"/>
    <x v="4"/>
    <s v="Free"/>
    <n v="1"/>
    <n v="1"/>
    <n v="1"/>
    <x v="1"/>
    <n v="363.32"/>
    <n v="0"/>
    <n v="0"/>
    <n v="9"/>
    <n v="55.9"/>
  </r>
  <r>
    <s v="USR-100100"/>
    <d v="2025-05-26T00:00:00"/>
    <x v="0"/>
    <x v="0"/>
    <x v="1"/>
    <x v="1"/>
    <s v="Free"/>
    <n v="1"/>
    <n v="0"/>
    <n v="0"/>
    <x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x v="0"/>
    <n v="0"/>
    <n v="0"/>
    <n v="0"/>
    <m/>
    <n v="51.5"/>
  </r>
  <r>
    <s v="USR-100102"/>
    <d v="2025-04-08T00:00:00"/>
    <x v="0"/>
    <x v="1"/>
    <x v="1"/>
    <x v="2"/>
    <s v="Free"/>
    <n v="1"/>
    <n v="0"/>
    <n v="0"/>
    <x v="0"/>
    <n v="0"/>
    <n v="0"/>
    <n v="0"/>
    <m/>
    <n v="74.400000000000006"/>
  </r>
  <r>
    <s v="USR-100103"/>
    <d v="2025-04-14T00:00:00"/>
    <x v="0"/>
    <x v="0"/>
    <x v="0"/>
    <x v="4"/>
    <s v="Free"/>
    <n v="1"/>
    <n v="1"/>
    <n v="1"/>
    <x v="1"/>
    <n v="3887.98"/>
    <n v="0"/>
    <n v="0"/>
    <n v="13"/>
    <n v="60.2"/>
  </r>
  <r>
    <s v="USR-100104"/>
    <d v="2025-03-27T00:00:00"/>
    <x v="0"/>
    <x v="3"/>
    <x v="1"/>
    <x v="0"/>
    <s v="Free"/>
    <n v="1"/>
    <n v="0"/>
    <n v="0"/>
    <x v="0"/>
    <n v="0"/>
    <n v="1"/>
    <n v="0"/>
    <m/>
    <n v="67.2"/>
  </r>
  <r>
    <s v="USR-100105"/>
    <d v="2025-01-05T00:00:00"/>
    <x v="0"/>
    <x v="3"/>
    <x v="1"/>
    <x v="4"/>
    <s v="Free"/>
    <n v="1"/>
    <n v="1"/>
    <n v="1"/>
    <x v="0"/>
    <n v="0"/>
    <n v="0"/>
    <n v="0"/>
    <m/>
    <n v="79.599999999999994"/>
  </r>
  <r>
    <s v="USR-100106"/>
    <d v="2025-01-25T00:00:00"/>
    <x v="0"/>
    <x v="3"/>
    <x v="1"/>
    <x v="4"/>
    <s v="Basic"/>
    <n v="1"/>
    <n v="1"/>
    <n v="1"/>
    <x v="1"/>
    <n v="8610.7199999999993"/>
    <n v="0"/>
    <n v="0"/>
    <n v="6"/>
    <n v="61"/>
  </r>
  <r>
    <s v="USR-100107"/>
    <d v="2025-01-23T00:00:00"/>
    <x v="0"/>
    <x v="1"/>
    <x v="1"/>
    <x v="0"/>
    <s v="Free"/>
    <n v="1"/>
    <n v="1"/>
    <n v="1"/>
    <x v="0"/>
    <n v="0"/>
    <n v="4"/>
    <n v="0"/>
    <m/>
    <n v="51.1"/>
  </r>
  <r>
    <s v="USR-100108"/>
    <d v="2025-05-25T00:00:00"/>
    <x v="0"/>
    <x v="2"/>
    <x v="0"/>
    <x v="3"/>
    <s v="Free"/>
    <n v="1"/>
    <n v="0"/>
    <n v="0"/>
    <x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x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x v="0"/>
    <n v="0"/>
    <n v="1"/>
    <n v="0"/>
    <m/>
    <n v="74"/>
  </r>
  <r>
    <s v="USR-100111"/>
    <d v="2025-04-28T00:00:00"/>
    <x v="0"/>
    <x v="1"/>
    <x v="0"/>
    <x v="1"/>
    <s v="Basic"/>
    <n v="1"/>
    <n v="0"/>
    <n v="0"/>
    <x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x v="0"/>
    <n v="0"/>
    <n v="0"/>
    <n v="0"/>
    <m/>
    <n v="53.2"/>
  </r>
  <r>
    <s v="USR-100113"/>
    <d v="2025-05-19T00:00:00"/>
    <x v="0"/>
    <x v="2"/>
    <x v="2"/>
    <x v="2"/>
    <s v="Free"/>
    <n v="0"/>
    <n v="0"/>
    <n v="0"/>
    <x v="0"/>
    <n v="0"/>
    <n v="0"/>
    <n v="0"/>
    <m/>
    <n v="48.1"/>
  </r>
  <r>
    <s v="USR-100114"/>
    <d v="2025-01-23T00:00:00"/>
    <x v="0"/>
    <x v="3"/>
    <x v="1"/>
    <x v="4"/>
    <s v="Free"/>
    <n v="1"/>
    <n v="1"/>
    <n v="0"/>
    <x v="0"/>
    <n v="0"/>
    <n v="0"/>
    <n v="0"/>
    <m/>
    <n v="61.5"/>
  </r>
  <r>
    <s v="USR-100115"/>
    <d v="2025-03-28T00:00:00"/>
    <x v="0"/>
    <x v="2"/>
    <x v="0"/>
    <x v="4"/>
    <s v="Free"/>
    <n v="1"/>
    <n v="0"/>
    <n v="0"/>
    <x v="0"/>
    <n v="0"/>
    <n v="0"/>
    <n v="0"/>
    <m/>
    <n v="63.2"/>
  </r>
  <r>
    <s v="USR-100116"/>
    <d v="2025-01-11T00:00:00"/>
    <x v="0"/>
    <x v="1"/>
    <x v="1"/>
    <x v="1"/>
    <s v="Free"/>
    <n v="0"/>
    <n v="0"/>
    <n v="0"/>
    <x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x v="0"/>
    <n v="0"/>
    <n v="0"/>
    <n v="0"/>
    <m/>
    <n v="62.7"/>
  </r>
  <r>
    <s v="USR-100118"/>
    <d v="2025-01-02T00:00:00"/>
    <x v="0"/>
    <x v="1"/>
    <x v="1"/>
    <x v="2"/>
    <s v="Free"/>
    <n v="1"/>
    <n v="0"/>
    <n v="0"/>
    <x v="0"/>
    <n v="0"/>
    <n v="0"/>
    <n v="0"/>
    <m/>
    <n v="51.5"/>
  </r>
  <r>
    <s v="USR-100119"/>
    <d v="2025-03-18T00:00:00"/>
    <x v="0"/>
    <x v="2"/>
    <x v="1"/>
    <x v="4"/>
    <s v="Free"/>
    <n v="1"/>
    <n v="1"/>
    <n v="1"/>
    <x v="0"/>
    <n v="0"/>
    <n v="0"/>
    <n v="0"/>
    <m/>
    <n v="39.1"/>
  </r>
  <r>
    <s v="USR-100120"/>
    <d v="2025-03-31T00:00:00"/>
    <x v="0"/>
    <x v="0"/>
    <x v="1"/>
    <x v="0"/>
    <s v="Free"/>
    <n v="1"/>
    <n v="0"/>
    <n v="0"/>
    <x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x v="0"/>
    <n v="0"/>
    <n v="0"/>
    <n v="0"/>
    <m/>
    <n v="59.9"/>
  </r>
  <r>
    <s v="USR-100122"/>
    <d v="2025-01-26T00:00:00"/>
    <x v="0"/>
    <x v="0"/>
    <x v="1"/>
    <x v="3"/>
    <s v="Free"/>
    <n v="1"/>
    <n v="1"/>
    <n v="0"/>
    <x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x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x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x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x v="0"/>
    <n v="0"/>
    <n v="0"/>
    <n v="0"/>
    <m/>
    <n v="56.9"/>
  </r>
  <r>
    <s v="USR-100127"/>
    <d v="2025-03-25T00:00:00"/>
    <x v="0"/>
    <x v="0"/>
    <x v="0"/>
    <x v="0"/>
    <s v="Free"/>
    <n v="0"/>
    <n v="0"/>
    <n v="0"/>
    <x v="0"/>
    <n v="0"/>
    <n v="0"/>
    <n v="0"/>
    <m/>
    <n v="64.7"/>
  </r>
  <r>
    <s v="USR-100128"/>
    <d v="2025-04-29T00:00:00"/>
    <x v="0"/>
    <x v="3"/>
    <x v="0"/>
    <x v="1"/>
    <s v="Free"/>
    <n v="1"/>
    <n v="1"/>
    <n v="1"/>
    <x v="0"/>
    <n v="0"/>
    <n v="0"/>
    <n v="0"/>
    <m/>
    <n v="64"/>
  </r>
  <r>
    <s v="USR-100129"/>
    <d v="2025-05-17T00:00:00"/>
    <x v="0"/>
    <x v="2"/>
    <x v="1"/>
    <x v="3"/>
    <s v="Basic"/>
    <n v="1"/>
    <n v="1"/>
    <n v="1"/>
    <x v="0"/>
    <n v="0"/>
    <n v="0"/>
    <n v="0"/>
    <m/>
    <n v="75.2"/>
  </r>
  <r>
    <s v="USR-100130"/>
    <d v="2025-01-02T00:00:00"/>
    <x v="0"/>
    <x v="0"/>
    <x v="1"/>
    <x v="2"/>
    <s v="Free"/>
    <n v="1"/>
    <n v="0"/>
    <n v="0"/>
    <x v="0"/>
    <n v="0"/>
    <n v="1"/>
    <n v="0"/>
    <m/>
    <n v="79"/>
  </r>
  <r>
    <s v="USR-100131"/>
    <d v="2025-02-03T00:00:00"/>
    <x v="0"/>
    <x v="3"/>
    <x v="1"/>
    <x v="1"/>
    <s v="Free"/>
    <n v="0"/>
    <n v="0"/>
    <n v="0"/>
    <x v="0"/>
    <n v="0"/>
    <n v="0"/>
    <n v="0"/>
    <m/>
    <n v="33"/>
  </r>
  <r>
    <s v="USR-100132"/>
    <d v="2025-03-04T00:00:00"/>
    <x v="0"/>
    <x v="2"/>
    <x v="1"/>
    <x v="1"/>
    <s v="Free"/>
    <n v="1"/>
    <n v="0"/>
    <n v="0"/>
    <x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x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x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x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x v="0"/>
    <n v="0"/>
    <n v="0"/>
    <n v="0"/>
    <m/>
    <n v="45.7"/>
  </r>
  <r>
    <s v="USR-100137"/>
    <d v="2025-05-06T00:00:00"/>
    <x v="0"/>
    <x v="0"/>
    <x v="1"/>
    <x v="2"/>
    <s v="Free"/>
    <n v="0"/>
    <n v="0"/>
    <n v="0"/>
    <x v="0"/>
    <n v="0"/>
    <n v="3"/>
    <n v="0"/>
    <m/>
    <n v="32"/>
  </r>
  <r>
    <s v="USR-100138"/>
    <d v="2025-02-23T00:00:00"/>
    <x v="0"/>
    <x v="3"/>
    <x v="0"/>
    <x v="2"/>
    <s v="Free"/>
    <n v="1"/>
    <n v="0"/>
    <n v="0"/>
    <x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x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x v="0"/>
    <n v="0"/>
    <n v="0"/>
    <n v="0"/>
    <m/>
    <n v="62.4"/>
  </r>
  <r>
    <s v="USR-100141"/>
    <d v="2025-01-19T00:00:00"/>
    <x v="0"/>
    <x v="3"/>
    <x v="1"/>
    <x v="1"/>
    <s v="Free"/>
    <n v="0"/>
    <n v="0"/>
    <n v="0"/>
    <x v="0"/>
    <n v="0"/>
    <n v="0"/>
    <n v="0"/>
    <m/>
    <n v="49.6"/>
  </r>
  <r>
    <s v="USR-100142"/>
    <d v="2025-04-03T00:00:00"/>
    <x v="0"/>
    <x v="1"/>
    <x v="0"/>
    <x v="4"/>
    <s v="Free"/>
    <n v="1"/>
    <n v="1"/>
    <n v="1"/>
    <x v="1"/>
    <n v="404.4"/>
    <n v="0"/>
    <n v="0"/>
    <n v="9"/>
    <n v="80.599999999999994"/>
  </r>
  <r>
    <s v="USR-100143"/>
    <d v="2025-04-07T00:00:00"/>
    <x v="0"/>
    <x v="0"/>
    <x v="1"/>
    <x v="2"/>
    <s v="Free"/>
    <n v="1"/>
    <n v="0"/>
    <n v="0"/>
    <x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x v="0"/>
    <n v="0"/>
    <n v="0"/>
    <n v="0"/>
    <m/>
    <n v="54.8"/>
  </r>
  <r>
    <s v="USR-100145"/>
    <d v="2025-04-11T00:00:00"/>
    <x v="0"/>
    <x v="2"/>
    <x v="1"/>
    <x v="1"/>
    <s v="Free"/>
    <n v="1"/>
    <n v="0"/>
    <n v="0"/>
    <x v="0"/>
    <n v="0"/>
    <n v="1"/>
    <n v="0"/>
    <m/>
    <n v="53.9"/>
  </r>
  <r>
    <s v="USR-100146"/>
    <d v="2025-04-23T00:00:00"/>
    <x v="0"/>
    <x v="2"/>
    <x v="1"/>
    <x v="2"/>
    <s v="Free"/>
    <n v="1"/>
    <n v="0"/>
    <n v="0"/>
    <x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x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x v="0"/>
    <n v="0"/>
    <n v="0"/>
    <n v="0"/>
    <m/>
    <n v="63.6"/>
  </r>
  <r>
    <s v="USR-100149"/>
    <d v="2025-01-28T00:00:00"/>
    <x v="0"/>
    <x v="0"/>
    <x v="1"/>
    <x v="1"/>
    <s v="Free"/>
    <n v="1"/>
    <n v="1"/>
    <n v="1"/>
    <x v="1"/>
    <n v="577.94000000000005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x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x v="0"/>
    <n v="0"/>
    <n v="0"/>
    <n v="0"/>
    <m/>
    <n v="43.1"/>
  </r>
  <r>
    <s v="USR-100152"/>
    <d v="2025-03-13T00:00:00"/>
    <x v="0"/>
    <x v="3"/>
    <x v="1"/>
    <x v="0"/>
    <s v="Free"/>
    <n v="1"/>
    <n v="0"/>
    <n v="0"/>
    <x v="0"/>
    <n v="0"/>
    <n v="0"/>
    <n v="0"/>
    <m/>
    <n v="58.3"/>
  </r>
  <r>
    <s v="USR-100153"/>
    <d v="2025-02-04T00:00:00"/>
    <x v="0"/>
    <x v="2"/>
    <x v="0"/>
    <x v="2"/>
    <s v="Free"/>
    <n v="1"/>
    <n v="0"/>
    <n v="0"/>
    <x v="0"/>
    <n v="0"/>
    <n v="0"/>
    <n v="0"/>
    <m/>
    <n v="69.8"/>
  </r>
  <r>
    <s v="USR-100154"/>
    <d v="2025-03-04T00:00:00"/>
    <x v="0"/>
    <x v="3"/>
    <x v="1"/>
    <x v="3"/>
    <s v="Free"/>
    <n v="1"/>
    <n v="1"/>
    <n v="0"/>
    <x v="0"/>
    <n v="0"/>
    <n v="0"/>
    <n v="0"/>
    <m/>
    <m/>
  </r>
  <r>
    <s v="USR-100155"/>
    <d v="2025-02-04T00:00:00"/>
    <x v="0"/>
    <x v="1"/>
    <x v="1"/>
    <x v="2"/>
    <s v="Basic"/>
    <n v="1"/>
    <n v="1"/>
    <n v="0"/>
    <x v="0"/>
    <n v="0"/>
    <n v="0"/>
    <n v="0"/>
    <m/>
    <n v="41.9"/>
  </r>
  <r>
    <s v="USR-100156"/>
    <d v="2025-03-11T00:00:00"/>
    <x v="0"/>
    <x v="0"/>
    <x v="0"/>
    <x v="1"/>
    <s v="Free"/>
    <n v="0"/>
    <n v="0"/>
    <n v="0"/>
    <x v="0"/>
    <n v="0"/>
    <n v="0"/>
    <n v="0"/>
    <m/>
    <n v="33.1"/>
  </r>
  <r>
    <s v="USR-100157"/>
    <d v="2025-04-22T00:00:00"/>
    <x v="0"/>
    <x v="1"/>
    <x v="1"/>
    <x v="1"/>
    <s v="Free"/>
    <n v="0"/>
    <n v="0"/>
    <n v="0"/>
    <x v="0"/>
    <n v="0"/>
    <n v="0"/>
    <n v="0"/>
    <m/>
    <n v="58.6"/>
  </r>
  <r>
    <s v="USR-100158"/>
    <d v="2025-03-08T00:00:00"/>
    <x v="0"/>
    <x v="0"/>
    <x v="0"/>
    <x v="2"/>
    <s v="Free"/>
    <n v="0"/>
    <n v="0"/>
    <n v="0"/>
    <x v="0"/>
    <n v="0"/>
    <n v="0"/>
    <n v="0"/>
    <m/>
    <n v="55.7"/>
  </r>
  <r>
    <s v="USR-100159"/>
    <d v="2025-03-10T00:00:00"/>
    <x v="0"/>
    <x v="2"/>
    <x v="1"/>
    <x v="1"/>
    <s v="Free"/>
    <n v="0"/>
    <n v="0"/>
    <n v="0"/>
    <x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x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x v="0"/>
    <n v="0"/>
    <n v="0"/>
    <n v="0"/>
    <m/>
    <n v="42.1"/>
  </r>
  <r>
    <s v="USR-100162"/>
    <d v="2025-02-01T00:00:00"/>
    <x v="0"/>
    <x v="0"/>
    <x v="1"/>
    <x v="1"/>
    <s v="Free"/>
    <n v="0"/>
    <n v="0"/>
    <n v="0"/>
    <x v="0"/>
    <n v="0"/>
    <n v="0"/>
    <n v="0"/>
    <m/>
    <m/>
  </r>
  <r>
    <s v="USR-100163"/>
    <d v="2025-04-11T00:00:00"/>
    <x v="0"/>
    <x v="3"/>
    <x v="1"/>
    <x v="1"/>
    <s v="Basic"/>
    <n v="0"/>
    <n v="0"/>
    <n v="0"/>
    <x v="0"/>
    <n v="0"/>
    <n v="1"/>
    <n v="0"/>
    <m/>
    <n v="64.8"/>
  </r>
  <r>
    <s v="USR-100164"/>
    <d v="2025-02-14T00:00:00"/>
    <x v="0"/>
    <x v="2"/>
    <x v="1"/>
    <x v="1"/>
    <s v="Free"/>
    <n v="0"/>
    <n v="0"/>
    <n v="0"/>
    <x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x v="0"/>
    <n v="0"/>
    <n v="0"/>
    <n v="0"/>
    <m/>
    <n v="50.6"/>
  </r>
  <r>
    <s v="USR-100166"/>
    <d v="2025-04-26T00:00:00"/>
    <x v="0"/>
    <x v="0"/>
    <x v="0"/>
    <x v="2"/>
    <s v="Basic"/>
    <n v="1"/>
    <n v="1"/>
    <n v="1"/>
    <x v="1"/>
    <n v="1281.25"/>
    <n v="1"/>
    <n v="0"/>
    <n v="9"/>
    <n v="43.4"/>
  </r>
  <r>
    <s v="USR-100167"/>
    <d v="2025-04-06T00:00:00"/>
    <x v="0"/>
    <x v="3"/>
    <x v="1"/>
    <x v="4"/>
    <s v="Free"/>
    <n v="1"/>
    <n v="0"/>
    <n v="0"/>
    <x v="0"/>
    <n v="0"/>
    <n v="0"/>
    <n v="0"/>
    <m/>
    <n v="59.7"/>
  </r>
  <r>
    <s v="USR-100168"/>
    <d v="2025-03-06T00:00:00"/>
    <x v="0"/>
    <x v="3"/>
    <x v="1"/>
    <x v="2"/>
    <s v="Free"/>
    <n v="1"/>
    <n v="0"/>
    <n v="0"/>
    <x v="0"/>
    <n v="0"/>
    <n v="1"/>
    <n v="0"/>
    <m/>
    <m/>
  </r>
  <r>
    <s v="USR-100169"/>
    <d v="2025-03-10T00:00:00"/>
    <x v="0"/>
    <x v="1"/>
    <x v="1"/>
    <x v="4"/>
    <s v="Basic"/>
    <n v="0"/>
    <n v="0"/>
    <n v="0"/>
    <x v="0"/>
    <n v="0"/>
    <n v="0"/>
    <n v="0"/>
    <m/>
    <n v="54.5"/>
  </r>
  <r>
    <s v="USR-100170"/>
    <d v="2025-03-30T00:00:00"/>
    <x v="0"/>
    <x v="0"/>
    <x v="1"/>
    <x v="1"/>
    <s v="Free"/>
    <n v="1"/>
    <n v="0"/>
    <n v="0"/>
    <x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x v="0"/>
    <n v="0"/>
    <n v="0"/>
    <n v="0"/>
    <m/>
    <n v="44.4"/>
  </r>
  <r>
    <s v="USR-100172"/>
    <d v="2025-03-23T00:00:00"/>
    <x v="0"/>
    <x v="0"/>
    <x v="1"/>
    <x v="1"/>
    <s v="Free"/>
    <n v="1"/>
    <n v="0"/>
    <n v="0"/>
    <x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x v="0"/>
    <n v="0"/>
    <n v="1"/>
    <n v="0"/>
    <m/>
    <n v="81.3"/>
  </r>
  <r>
    <s v="USR-100174"/>
    <d v="2025-01-26T00:00:00"/>
    <x v="0"/>
    <x v="0"/>
    <x v="0"/>
    <x v="0"/>
    <s v="Free"/>
    <n v="1"/>
    <n v="0"/>
    <n v="0"/>
    <x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x v="0"/>
    <n v="0"/>
    <n v="0"/>
    <n v="0"/>
    <m/>
    <n v="53"/>
  </r>
  <r>
    <s v="USR-100176"/>
    <d v="2025-03-16T00:00:00"/>
    <x v="0"/>
    <x v="3"/>
    <x v="2"/>
    <x v="3"/>
    <s v="Basic"/>
    <n v="1"/>
    <n v="0"/>
    <n v="0"/>
    <x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x v="0"/>
    <n v="0"/>
    <n v="0"/>
    <n v="0"/>
    <m/>
    <n v="58.2"/>
  </r>
  <r>
    <s v="USR-100178"/>
    <d v="2025-04-06T00:00:00"/>
    <x v="0"/>
    <x v="0"/>
    <x v="1"/>
    <x v="1"/>
    <s v="Free"/>
    <n v="0"/>
    <n v="0"/>
    <n v="0"/>
    <x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x v="0"/>
    <n v="0"/>
    <n v="0"/>
    <n v="0"/>
    <m/>
    <n v="38.4"/>
  </r>
  <r>
    <s v="USR-100180"/>
    <d v="2025-04-03T00:00:00"/>
    <x v="0"/>
    <x v="3"/>
    <x v="1"/>
    <x v="2"/>
    <s v="Free"/>
    <n v="1"/>
    <n v="0"/>
    <n v="0"/>
    <x v="0"/>
    <n v="0"/>
    <n v="0"/>
    <n v="0"/>
    <m/>
    <n v="56.1"/>
  </r>
  <r>
    <s v="USR-100181"/>
    <d v="2025-04-25T00:00:00"/>
    <x v="0"/>
    <x v="1"/>
    <x v="1"/>
    <x v="2"/>
    <s v="Free"/>
    <n v="0"/>
    <n v="0"/>
    <n v="0"/>
    <x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x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x v="0"/>
    <n v="0"/>
    <n v="0"/>
    <n v="0"/>
    <m/>
    <n v="52.1"/>
  </r>
  <r>
    <s v="USR-100184"/>
    <d v="2025-05-04T00:00:00"/>
    <x v="0"/>
    <x v="3"/>
    <x v="1"/>
    <x v="1"/>
    <s v="Free"/>
    <n v="1"/>
    <n v="0"/>
    <n v="0"/>
    <x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x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x v="0"/>
    <n v="0"/>
    <n v="0"/>
    <n v="0"/>
    <m/>
    <n v="80"/>
  </r>
  <r>
    <s v="USR-100187"/>
    <d v="2025-05-15T00:00:00"/>
    <x v="0"/>
    <x v="2"/>
    <x v="0"/>
    <x v="3"/>
    <s v="Free"/>
    <n v="0"/>
    <n v="0"/>
    <n v="0"/>
    <x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x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x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x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x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x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x v="0"/>
    <n v="0"/>
    <n v="0"/>
    <n v="0"/>
    <m/>
    <n v="52.6"/>
  </r>
  <r>
    <s v="USR-100194"/>
    <d v="2025-05-19T00:00:00"/>
    <x v="0"/>
    <x v="0"/>
    <x v="1"/>
    <x v="2"/>
    <s v="Free"/>
    <n v="1"/>
    <n v="0"/>
    <n v="0"/>
    <x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x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x v="0"/>
    <n v="0"/>
    <n v="0"/>
    <n v="0"/>
    <m/>
    <n v="74.2"/>
  </r>
  <r>
    <s v="USR-100197"/>
    <d v="2025-02-27T00:00:00"/>
    <x v="0"/>
    <x v="0"/>
    <x v="1"/>
    <x v="4"/>
    <s v="Basic"/>
    <n v="1"/>
    <n v="1"/>
    <n v="1"/>
    <x v="1"/>
    <n v="1052.8"/>
    <n v="2"/>
    <n v="0"/>
    <n v="6"/>
    <n v="64.7"/>
  </r>
  <r>
    <s v="USR-100198"/>
    <d v="2025-04-26T00:00:00"/>
    <x v="0"/>
    <x v="3"/>
    <x v="1"/>
    <x v="2"/>
    <s v="Basic"/>
    <n v="0"/>
    <n v="0"/>
    <n v="0"/>
    <x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x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x v="0"/>
    <n v="0"/>
    <n v="0"/>
    <n v="0"/>
    <m/>
    <n v="57.2"/>
  </r>
  <r>
    <s v="USR-100201"/>
    <d v="2025-04-02T00:00:00"/>
    <x v="0"/>
    <x v="1"/>
    <x v="0"/>
    <x v="1"/>
    <s v="Free"/>
    <n v="1"/>
    <n v="0"/>
    <n v="0"/>
    <x v="0"/>
    <n v="0"/>
    <n v="0"/>
    <n v="0"/>
    <m/>
    <n v="80.5"/>
  </r>
  <r>
    <s v="USR-100202"/>
    <d v="2025-05-14T00:00:00"/>
    <x v="0"/>
    <x v="3"/>
    <x v="2"/>
    <x v="1"/>
    <s v="Free"/>
    <n v="0"/>
    <n v="0"/>
    <n v="0"/>
    <x v="0"/>
    <n v="0"/>
    <n v="0"/>
    <n v="0"/>
    <m/>
    <n v="53.9"/>
  </r>
  <r>
    <s v="USR-100203"/>
    <d v="2025-05-21T00:00:00"/>
    <x v="0"/>
    <x v="0"/>
    <x v="1"/>
    <x v="2"/>
    <s v="Free"/>
    <n v="1"/>
    <n v="1"/>
    <n v="0"/>
    <x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x v="0"/>
    <n v="0"/>
    <n v="0"/>
    <n v="0"/>
    <m/>
    <n v="84.2"/>
  </r>
  <r>
    <s v="USR-100205"/>
    <d v="2025-05-22T00:00:00"/>
    <x v="0"/>
    <x v="1"/>
    <x v="0"/>
    <x v="1"/>
    <s v="Free"/>
    <n v="1"/>
    <n v="1"/>
    <n v="0"/>
    <x v="0"/>
    <n v="0"/>
    <n v="0"/>
    <n v="0"/>
    <m/>
    <n v="54.9"/>
  </r>
  <r>
    <s v="USR-100206"/>
    <d v="2025-05-19T00:00:00"/>
    <x v="0"/>
    <x v="3"/>
    <x v="1"/>
    <x v="2"/>
    <s v="Free"/>
    <n v="0"/>
    <n v="0"/>
    <n v="0"/>
    <x v="0"/>
    <n v="0"/>
    <n v="0"/>
    <n v="0"/>
    <m/>
    <n v="69.3"/>
  </r>
  <r>
    <s v="USR-100207"/>
    <d v="2025-01-14T00:00:00"/>
    <x v="0"/>
    <x v="3"/>
    <x v="0"/>
    <x v="2"/>
    <s v="Free"/>
    <n v="1"/>
    <n v="0"/>
    <n v="0"/>
    <x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x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x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x v="0"/>
    <n v="0"/>
    <n v="0"/>
    <n v="0"/>
    <m/>
    <n v="54"/>
  </r>
  <r>
    <s v="USR-100211"/>
    <d v="2025-03-23T00:00:00"/>
    <x v="0"/>
    <x v="2"/>
    <x v="3"/>
    <x v="3"/>
    <s v="Free"/>
    <n v="1"/>
    <n v="1"/>
    <n v="1"/>
    <x v="1"/>
    <n v="553.37"/>
    <n v="0"/>
    <n v="0"/>
    <n v="5"/>
    <n v="46.3"/>
  </r>
  <r>
    <s v="USR-100212"/>
    <d v="2025-01-24T00:00:00"/>
    <x v="0"/>
    <x v="2"/>
    <x v="1"/>
    <x v="1"/>
    <s v="Free"/>
    <n v="1"/>
    <n v="0"/>
    <n v="0"/>
    <x v="0"/>
    <n v="0"/>
    <n v="0"/>
    <n v="0"/>
    <m/>
    <n v="64.2"/>
  </r>
  <r>
    <s v="USR-100213"/>
    <d v="2025-04-12T00:00:00"/>
    <x v="0"/>
    <x v="0"/>
    <x v="0"/>
    <x v="1"/>
    <s v="Free"/>
    <n v="1"/>
    <n v="0"/>
    <n v="0"/>
    <x v="0"/>
    <n v="0"/>
    <n v="0"/>
    <n v="0"/>
    <m/>
    <n v="75.2"/>
  </r>
  <r>
    <s v="USR-100214"/>
    <d v="2025-02-18T00:00:00"/>
    <x v="0"/>
    <x v="2"/>
    <x v="0"/>
    <x v="2"/>
    <s v="Free"/>
    <n v="1"/>
    <n v="1"/>
    <n v="0"/>
    <x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x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x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x v="0"/>
    <n v="0"/>
    <n v="0"/>
    <n v="0"/>
    <m/>
    <n v="53.3"/>
  </r>
  <r>
    <s v="USR-100218"/>
    <d v="2025-02-25T00:00:00"/>
    <x v="0"/>
    <x v="0"/>
    <x v="2"/>
    <x v="4"/>
    <s v="Free"/>
    <n v="1"/>
    <n v="0"/>
    <n v="0"/>
    <x v="0"/>
    <n v="0"/>
    <n v="0"/>
    <n v="0"/>
    <m/>
    <m/>
  </r>
  <r>
    <s v="USR-100219"/>
    <d v="2025-02-19T00:00:00"/>
    <x v="0"/>
    <x v="2"/>
    <x v="1"/>
    <x v="2"/>
    <s v="Free"/>
    <n v="0"/>
    <n v="0"/>
    <n v="0"/>
    <x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x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x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x v="0"/>
    <n v="0"/>
    <n v="0"/>
    <n v="0"/>
    <m/>
    <n v="67"/>
  </r>
  <r>
    <s v="USR-100223"/>
    <d v="2025-02-17T00:00:00"/>
    <x v="0"/>
    <x v="1"/>
    <x v="1"/>
    <x v="0"/>
    <s v="Free"/>
    <n v="1"/>
    <n v="0"/>
    <n v="0"/>
    <x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x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x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x v="0"/>
    <n v="0"/>
    <n v="0"/>
    <n v="0"/>
    <m/>
    <n v="33"/>
  </r>
  <r>
    <s v="USR-100227"/>
    <d v="2025-04-20T00:00:00"/>
    <x v="0"/>
    <x v="0"/>
    <x v="2"/>
    <x v="0"/>
    <s v="Free"/>
    <n v="0"/>
    <n v="0"/>
    <n v="0"/>
    <x v="0"/>
    <n v="0"/>
    <n v="0"/>
    <n v="0"/>
    <m/>
    <n v="52.5"/>
  </r>
  <r>
    <s v="USR-100228"/>
    <d v="2025-02-23T00:00:00"/>
    <x v="0"/>
    <x v="0"/>
    <x v="2"/>
    <x v="1"/>
    <s v="Free"/>
    <n v="0"/>
    <n v="0"/>
    <n v="0"/>
    <x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x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x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x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x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x v="0"/>
    <n v="0"/>
    <n v="0"/>
    <n v="0"/>
    <m/>
    <n v="55.8"/>
  </r>
  <r>
    <s v="USR-100234"/>
    <d v="2025-04-28T00:00:00"/>
    <x v="0"/>
    <x v="0"/>
    <x v="2"/>
    <x v="1"/>
    <s v="Free"/>
    <n v="0"/>
    <n v="0"/>
    <n v="0"/>
    <x v="0"/>
    <n v="0"/>
    <n v="0"/>
    <n v="0"/>
    <m/>
    <n v="49.3"/>
  </r>
  <r>
    <s v="USR-100235"/>
    <d v="2025-02-26T00:00:00"/>
    <x v="0"/>
    <x v="0"/>
    <x v="1"/>
    <x v="1"/>
    <s v="Free"/>
    <n v="0"/>
    <n v="0"/>
    <n v="0"/>
    <x v="0"/>
    <n v="0"/>
    <n v="0"/>
    <n v="0"/>
    <m/>
    <n v="71.8"/>
  </r>
  <r>
    <s v="USR-100236"/>
    <d v="2025-03-18T00:00:00"/>
    <x v="0"/>
    <x v="1"/>
    <x v="1"/>
    <x v="4"/>
    <s v="Free"/>
    <n v="1"/>
    <n v="0"/>
    <n v="0"/>
    <x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x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x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x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x v="0"/>
    <n v="0"/>
    <n v="0"/>
    <n v="0"/>
    <m/>
    <n v="45.9"/>
  </r>
  <r>
    <s v="USR-100241"/>
    <d v="2025-02-23T00:00:00"/>
    <x v="0"/>
    <x v="1"/>
    <x v="1"/>
    <x v="0"/>
    <s v="Free"/>
    <n v="0"/>
    <n v="0"/>
    <n v="0"/>
    <x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x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x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x v="0"/>
    <n v="0"/>
    <n v="0"/>
    <n v="0"/>
    <m/>
    <n v="53.2"/>
  </r>
  <r>
    <s v="USR-100245"/>
    <d v="2025-01-28T00:00:00"/>
    <x v="0"/>
    <x v="0"/>
    <x v="1"/>
    <x v="4"/>
    <s v="Free"/>
    <n v="1"/>
    <n v="1"/>
    <n v="1"/>
    <x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x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x v="0"/>
    <n v="0"/>
    <n v="0"/>
    <n v="0"/>
    <m/>
    <n v="55.7"/>
  </r>
  <r>
    <s v="USR-100248"/>
    <d v="2025-02-03T00:00:00"/>
    <x v="0"/>
    <x v="1"/>
    <x v="1"/>
    <x v="2"/>
    <s v="Free"/>
    <n v="0"/>
    <n v="0"/>
    <n v="0"/>
    <x v="0"/>
    <n v="0"/>
    <n v="0"/>
    <n v="0"/>
    <m/>
    <n v="52.3"/>
  </r>
  <r>
    <s v="USR-100249"/>
    <d v="2025-05-22T00:00:00"/>
    <x v="0"/>
    <x v="0"/>
    <x v="1"/>
    <x v="4"/>
    <s v="Free"/>
    <n v="1"/>
    <n v="0"/>
    <n v="0"/>
    <x v="0"/>
    <n v="0"/>
    <n v="0"/>
    <n v="0"/>
    <m/>
    <n v="51.5"/>
  </r>
  <r>
    <s v="USR-100250"/>
    <d v="2025-04-25T00:00:00"/>
    <x v="0"/>
    <x v="0"/>
    <x v="0"/>
    <x v="0"/>
    <s v="Free"/>
    <n v="1"/>
    <n v="0"/>
    <n v="0"/>
    <x v="0"/>
    <n v="0"/>
    <n v="0"/>
    <n v="0"/>
    <m/>
    <n v="70.8"/>
  </r>
  <r>
    <s v="USR-100251"/>
    <d v="2025-01-30T00:00:00"/>
    <x v="0"/>
    <x v="0"/>
    <x v="0"/>
    <x v="0"/>
    <s v="Basic"/>
    <n v="1"/>
    <n v="1"/>
    <n v="1"/>
    <x v="1"/>
    <n v="1250.78"/>
    <n v="0"/>
    <n v="0"/>
    <n v="10"/>
    <n v="39"/>
  </r>
  <r>
    <s v="USR-100252"/>
    <d v="2025-05-23T00:00:00"/>
    <x v="0"/>
    <x v="1"/>
    <x v="1"/>
    <x v="1"/>
    <s v="Free"/>
    <n v="1"/>
    <n v="0"/>
    <n v="0"/>
    <x v="0"/>
    <n v="0"/>
    <n v="0"/>
    <n v="0"/>
    <m/>
    <n v="61.6"/>
  </r>
  <r>
    <s v="USR-100253"/>
    <d v="2025-02-14T00:00:00"/>
    <x v="0"/>
    <x v="2"/>
    <x v="0"/>
    <x v="1"/>
    <s v="Free"/>
    <n v="1"/>
    <n v="1"/>
    <n v="1"/>
    <x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x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x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x v="0"/>
    <n v="0"/>
    <n v="0"/>
    <n v="0"/>
    <m/>
    <n v="48.4"/>
  </r>
  <r>
    <s v="USR-100257"/>
    <d v="2025-04-21T00:00:00"/>
    <x v="0"/>
    <x v="0"/>
    <x v="1"/>
    <x v="0"/>
    <s v="Free"/>
    <n v="1"/>
    <n v="0"/>
    <n v="0"/>
    <x v="0"/>
    <n v="0"/>
    <n v="0"/>
    <n v="0"/>
    <m/>
    <n v="58"/>
  </r>
  <r>
    <s v="USR-100258"/>
    <d v="2025-05-13T00:00:00"/>
    <x v="0"/>
    <x v="0"/>
    <x v="1"/>
    <x v="2"/>
    <s v="Free"/>
    <n v="0"/>
    <n v="0"/>
    <n v="0"/>
    <x v="0"/>
    <n v="0"/>
    <n v="0"/>
    <n v="0"/>
    <m/>
    <n v="61.6"/>
  </r>
  <r>
    <s v="USR-100259"/>
    <d v="2025-01-28T00:00:00"/>
    <x v="0"/>
    <x v="2"/>
    <x v="0"/>
    <x v="1"/>
    <s v="Free"/>
    <n v="1"/>
    <n v="0"/>
    <n v="0"/>
    <x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x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x v="0"/>
    <n v="0"/>
    <n v="0"/>
    <n v="0"/>
    <m/>
    <n v="33.9"/>
  </r>
  <r>
    <s v="USR-100262"/>
    <d v="2025-03-15T00:00:00"/>
    <x v="0"/>
    <x v="2"/>
    <x v="0"/>
    <x v="3"/>
    <s v="Free"/>
    <n v="1"/>
    <n v="1"/>
    <n v="1"/>
    <x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x v="0"/>
    <n v="0"/>
    <n v="0"/>
    <n v="0"/>
    <m/>
    <n v="45"/>
  </r>
  <r>
    <s v="USR-100264"/>
    <d v="2025-02-12T00:00:00"/>
    <x v="0"/>
    <x v="3"/>
    <x v="1"/>
    <x v="1"/>
    <s v="Free"/>
    <n v="1"/>
    <n v="1"/>
    <n v="0"/>
    <x v="0"/>
    <n v="0"/>
    <n v="0"/>
    <n v="0"/>
    <m/>
    <n v="86.5"/>
  </r>
  <r>
    <s v="USR-100265"/>
    <d v="2025-05-05T00:00:00"/>
    <x v="0"/>
    <x v="1"/>
    <x v="1"/>
    <x v="4"/>
    <s v="Free"/>
    <n v="0"/>
    <n v="0"/>
    <n v="0"/>
    <x v="0"/>
    <n v="0"/>
    <n v="0"/>
    <n v="0"/>
    <m/>
    <n v="58.1"/>
  </r>
  <r>
    <s v="USR-100266"/>
    <d v="2025-03-11T00:00:00"/>
    <x v="0"/>
    <x v="1"/>
    <x v="1"/>
    <x v="3"/>
    <s v="Free"/>
    <n v="1"/>
    <n v="0"/>
    <n v="0"/>
    <x v="0"/>
    <n v="0"/>
    <n v="0"/>
    <n v="0"/>
    <m/>
    <n v="36.1"/>
  </r>
  <r>
    <s v="USR-100267"/>
    <d v="2025-02-10T00:00:00"/>
    <x v="0"/>
    <x v="2"/>
    <x v="1"/>
    <x v="4"/>
    <s v="Free"/>
    <n v="0"/>
    <n v="0"/>
    <n v="0"/>
    <x v="0"/>
    <n v="0"/>
    <n v="0"/>
    <n v="0"/>
    <m/>
    <n v="62.8"/>
  </r>
  <r>
    <s v="USR-100268"/>
    <d v="2025-04-06T00:00:00"/>
    <x v="0"/>
    <x v="3"/>
    <x v="1"/>
    <x v="1"/>
    <s v="Free"/>
    <n v="0"/>
    <n v="0"/>
    <n v="0"/>
    <x v="0"/>
    <n v="0"/>
    <n v="0"/>
    <n v="0"/>
    <m/>
    <n v="54.2"/>
  </r>
  <r>
    <s v="USR-100269"/>
    <d v="2025-01-06T00:00:00"/>
    <x v="0"/>
    <x v="2"/>
    <x v="1"/>
    <x v="3"/>
    <s v="Free"/>
    <n v="0"/>
    <n v="0"/>
    <n v="0"/>
    <x v="0"/>
    <n v="0"/>
    <n v="0"/>
    <n v="0"/>
    <m/>
    <n v="50"/>
  </r>
  <r>
    <s v="USR-100270"/>
    <d v="2025-03-25T00:00:00"/>
    <x v="0"/>
    <x v="2"/>
    <x v="2"/>
    <x v="2"/>
    <s v="Basic"/>
    <n v="1"/>
    <n v="0"/>
    <n v="0"/>
    <x v="0"/>
    <n v="0"/>
    <n v="0"/>
    <n v="0"/>
    <m/>
    <n v="62"/>
  </r>
  <r>
    <s v="USR-100271"/>
    <d v="2025-02-13T00:00:00"/>
    <x v="0"/>
    <x v="2"/>
    <x v="0"/>
    <x v="3"/>
    <s v="Free"/>
    <n v="1"/>
    <n v="0"/>
    <n v="0"/>
    <x v="0"/>
    <n v="0"/>
    <n v="0"/>
    <n v="0"/>
    <m/>
    <n v="29.3"/>
  </r>
  <r>
    <s v="USR-100272"/>
    <d v="2025-03-17T00:00:00"/>
    <x v="0"/>
    <x v="1"/>
    <x v="0"/>
    <x v="1"/>
    <s v="Free"/>
    <n v="1"/>
    <n v="0"/>
    <n v="0"/>
    <x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x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x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x v="0"/>
    <n v="0"/>
    <n v="2"/>
    <n v="0"/>
    <m/>
    <n v="53"/>
  </r>
  <r>
    <s v="USR-100276"/>
    <d v="2025-05-11T00:00:00"/>
    <x v="0"/>
    <x v="0"/>
    <x v="1"/>
    <x v="1"/>
    <s v="Basic"/>
    <n v="0"/>
    <n v="0"/>
    <n v="0"/>
    <x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x v="0"/>
    <n v="0"/>
    <n v="0"/>
    <n v="0"/>
    <m/>
    <n v="49.6"/>
  </r>
  <r>
    <s v="USR-100278"/>
    <d v="2025-01-19T00:00:00"/>
    <x v="0"/>
    <x v="0"/>
    <x v="1"/>
    <x v="0"/>
    <s v="Free"/>
    <n v="1"/>
    <n v="1"/>
    <n v="0"/>
    <x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x v="0"/>
    <n v="0"/>
    <n v="1"/>
    <n v="0"/>
    <m/>
    <n v="46.9"/>
  </r>
  <r>
    <s v="USR-100280"/>
    <d v="2025-04-25T00:00:00"/>
    <x v="0"/>
    <x v="0"/>
    <x v="1"/>
    <x v="1"/>
    <s v="Free"/>
    <n v="0"/>
    <n v="0"/>
    <n v="0"/>
    <x v="0"/>
    <n v="0"/>
    <n v="0"/>
    <n v="0"/>
    <m/>
    <n v="87.1"/>
  </r>
  <r>
    <s v="USR-100281"/>
    <d v="2025-04-04T00:00:00"/>
    <x v="0"/>
    <x v="0"/>
    <x v="0"/>
    <x v="1"/>
    <s v="Free"/>
    <n v="1"/>
    <n v="0"/>
    <n v="0"/>
    <x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x v="0"/>
    <n v="0"/>
    <n v="1"/>
    <n v="0"/>
    <m/>
    <n v="61.7"/>
  </r>
  <r>
    <s v="USR-100283"/>
    <d v="2025-01-21T00:00:00"/>
    <x v="0"/>
    <x v="3"/>
    <x v="1"/>
    <x v="4"/>
    <s v="Free"/>
    <n v="1"/>
    <n v="0"/>
    <n v="0"/>
    <x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x v="0"/>
    <n v="0"/>
    <n v="0"/>
    <n v="0"/>
    <m/>
    <n v="33.4"/>
  </r>
  <r>
    <s v="USR-100285"/>
    <d v="2025-05-06T00:00:00"/>
    <x v="0"/>
    <x v="3"/>
    <x v="0"/>
    <x v="1"/>
    <s v="Free"/>
    <n v="1"/>
    <n v="0"/>
    <n v="0"/>
    <x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x v="0"/>
    <n v="0"/>
    <n v="0"/>
    <n v="0"/>
    <m/>
    <n v="85.7"/>
  </r>
  <r>
    <s v="USR-100287"/>
    <d v="2025-05-31T00:00:00"/>
    <x v="0"/>
    <x v="2"/>
    <x v="1"/>
    <x v="4"/>
    <s v="Free"/>
    <n v="1"/>
    <n v="0"/>
    <n v="0"/>
    <x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x v="0"/>
    <n v="0"/>
    <n v="0"/>
    <n v="0"/>
    <m/>
    <n v="70.2"/>
  </r>
  <r>
    <s v="USR-100289"/>
    <d v="2025-02-10T00:00:00"/>
    <x v="0"/>
    <x v="0"/>
    <x v="1"/>
    <x v="4"/>
    <s v="Free"/>
    <n v="1"/>
    <n v="0"/>
    <n v="0"/>
    <x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x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x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x v="0"/>
    <n v="0"/>
    <n v="0"/>
    <n v="0"/>
    <m/>
    <n v="42.7"/>
  </r>
  <r>
    <s v="USR-100293"/>
    <d v="2025-01-28T00:00:00"/>
    <x v="0"/>
    <x v="0"/>
    <x v="1"/>
    <x v="1"/>
    <s v="Free"/>
    <n v="0"/>
    <n v="0"/>
    <n v="0"/>
    <x v="0"/>
    <n v="0"/>
    <n v="0"/>
    <n v="0"/>
    <m/>
    <n v="74.3"/>
  </r>
  <r>
    <s v="USR-100294"/>
    <d v="2025-02-16T00:00:00"/>
    <x v="0"/>
    <x v="1"/>
    <x v="0"/>
    <x v="0"/>
    <s v="Free"/>
    <n v="1"/>
    <n v="0"/>
    <n v="0"/>
    <x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x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x v="0"/>
    <n v="0"/>
    <n v="0"/>
    <n v="0"/>
    <m/>
    <n v="51"/>
  </r>
  <r>
    <s v="USR-100297"/>
    <d v="2025-04-13T00:00:00"/>
    <x v="0"/>
    <x v="1"/>
    <x v="1"/>
    <x v="4"/>
    <s v="Basic"/>
    <n v="1"/>
    <n v="1"/>
    <n v="0"/>
    <x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x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x v="0"/>
    <n v="0"/>
    <n v="0"/>
    <n v="0"/>
    <m/>
    <n v="48.8"/>
  </r>
  <r>
    <s v="USR-100300"/>
    <d v="2025-01-24T00:00:00"/>
    <x v="0"/>
    <x v="3"/>
    <x v="1"/>
    <x v="5"/>
    <s v="Basic"/>
    <n v="1"/>
    <n v="1"/>
    <n v="1"/>
    <x v="1"/>
    <n v="1198.69"/>
    <n v="1"/>
    <n v="0"/>
    <n v="6"/>
    <n v="88.9"/>
  </r>
  <r>
    <s v="USR-100301"/>
    <d v="2025-05-09T00:00:00"/>
    <x v="0"/>
    <x v="0"/>
    <x v="1"/>
    <x v="0"/>
    <s v="Basic"/>
    <n v="1"/>
    <n v="1"/>
    <n v="1"/>
    <x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x v="0"/>
    <n v="0"/>
    <n v="0"/>
    <n v="0"/>
    <m/>
    <n v="63.6"/>
  </r>
  <r>
    <s v="USR-100303"/>
    <d v="2025-02-26T00:00:00"/>
    <x v="0"/>
    <x v="0"/>
    <x v="0"/>
    <x v="1"/>
    <s v="Basic"/>
    <n v="1"/>
    <n v="1"/>
    <n v="1"/>
    <x v="1"/>
    <n v="6788.95"/>
    <n v="0"/>
    <n v="0"/>
    <n v="17"/>
    <n v="58.4"/>
  </r>
  <r>
    <s v="USR-100304"/>
    <d v="2025-02-12T00:00:00"/>
    <x v="0"/>
    <x v="3"/>
    <x v="1"/>
    <x v="4"/>
    <s v="Premium"/>
    <n v="0"/>
    <n v="0"/>
    <n v="0"/>
    <x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x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x v="0"/>
    <n v="0"/>
    <n v="0"/>
    <n v="0"/>
    <m/>
    <n v="79.7"/>
  </r>
  <r>
    <s v="USR-100307"/>
    <d v="2025-02-02T00:00:00"/>
    <x v="0"/>
    <x v="0"/>
    <x v="1"/>
    <x v="4"/>
    <s v="Free"/>
    <n v="1"/>
    <n v="0"/>
    <n v="0"/>
    <x v="0"/>
    <n v="0"/>
    <n v="0"/>
    <n v="0"/>
    <m/>
    <n v="44.9"/>
  </r>
  <r>
    <s v="USR-100308"/>
    <d v="2025-01-30T00:00:00"/>
    <x v="0"/>
    <x v="1"/>
    <x v="2"/>
    <x v="2"/>
    <s v="Free"/>
    <n v="1"/>
    <n v="1"/>
    <n v="1"/>
    <x v="1"/>
    <n v="409.39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x v="0"/>
    <n v="0"/>
    <n v="0"/>
    <n v="0"/>
    <m/>
    <n v="70"/>
  </r>
  <r>
    <s v="USR-100310"/>
    <d v="2025-05-16T00:00:00"/>
    <x v="0"/>
    <x v="3"/>
    <x v="0"/>
    <x v="3"/>
    <s v="Basic"/>
    <n v="1"/>
    <n v="0"/>
    <n v="0"/>
    <x v="0"/>
    <n v="0"/>
    <n v="0"/>
    <n v="0"/>
    <m/>
    <n v="77.7"/>
  </r>
  <r>
    <s v="USR-100311"/>
    <d v="2025-03-08T00:00:00"/>
    <x v="0"/>
    <x v="1"/>
    <x v="1"/>
    <x v="1"/>
    <s v="Free"/>
    <n v="0"/>
    <n v="0"/>
    <n v="0"/>
    <x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x v="0"/>
    <n v="0"/>
    <n v="0"/>
    <n v="0"/>
    <m/>
    <n v="43.8"/>
  </r>
  <r>
    <s v="USR-100313"/>
    <d v="2025-05-30T00:00:00"/>
    <x v="0"/>
    <x v="3"/>
    <x v="2"/>
    <x v="1"/>
    <s v="Free"/>
    <n v="1"/>
    <n v="0"/>
    <n v="0"/>
    <x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x v="0"/>
    <n v="0"/>
    <n v="0"/>
    <n v="0"/>
    <m/>
    <n v="58.5"/>
  </r>
  <r>
    <s v="USR-100315"/>
    <d v="2025-01-20T00:00:00"/>
    <x v="0"/>
    <x v="2"/>
    <x v="1"/>
    <x v="1"/>
    <s v="Free"/>
    <n v="1"/>
    <n v="1"/>
    <n v="1"/>
    <x v="0"/>
    <n v="0"/>
    <n v="0"/>
    <n v="0"/>
    <m/>
    <n v="53.6"/>
  </r>
  <r>
    <s v="USR-100316"/>
    <d v="2025-05-01T00:00:00"/>
    <x v="0"/>
    <x v="2"/>
    <x v="1"/>
    <x v="0"/>
    <s v="Free"/>
    <n v="0"/>
    <n v="0"/>
    <n v="0"/>
    <x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x v="0"/>
    <n v="0"/>
    <n v="0"/>
    <n v="0"/>
    <m/>
    <n v="57.3"/>
  </r>
  <r>
    <s v="USR-100318"/>
    <d v="2025-04-01T00:00:00"/>
    <x v="0"/>
    <x v="2"/>
    <x v="0"/>
    <x v="3"/>
    <s v="Free"/>
    <n v="1"/>
    <n v="0"/>
    <n v="0"/>
    <x v="0"/>
    <n v="0"/>
    <n v="0"/>
    <n v="0"/>
    <m/>
    <n v="52.1"/>
  </r>
  <r>
    <s v="USR-100319"/>
    <d v="2025-05-03T00:00:00"/>
    <x v="0"/>
    <x v="0"/>
    <x v="1"/>
    <x v="1"/>
    <s v="Free"/>
    <n v="1"/>
    <n v="0"/>
    <n v="0"/>
    <x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x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x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x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x v="0"/>
    <n v="0"/>
    <n v="0"/>
    <n v="0"/>
    <m/>
    <n v="66.2"/>
  </r>
  <r>
    <s v="USR-100324"/>
    <d v="2025-03-18T00:00:00"/>
    <x v="0"/>
    <x v="2"/>
    <x v="1"/>
    <x v="4"/>
    <s v="Free"/>
    <n v="1"/>
    <n v="1"/>
    <n v="1"/>
    <x v="0"/>
    <n v="0"/>
    <n v="0"/>
    <n v="0"/>
    <m/>
    <n v="61.3"/>
  </r>
  <r>
    <s v="USR-100325"/>
    <d v="2025-04-03T00:00:00"/>
    <x v="0"/>
    <x v="2"/>
    <x v="1"/>
    <x v="2"/>
    <s v="Free"/>
    <n v="1"/>
    <n v="0"/>
    <n v="0"/>
    <x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x v="0"/>
    <n v="0"/>
    <n v="0"/>
    <n v="0"/>
    <m/>
    <n v="84"/>
  </r>
  <r>
    <s v="USR-100327"/>
    <d v="2025-05-10T00:00:00"/>
    <x v="0"/>
    <x v="1"/>
    <x v="0"/>
    <x v="0"/>
    <s v="Basic"/>
    <n v="0"/>
    <n v="0"/>
    <n v="0"/>
    <x v="0"/>
    <n v="0"/>
    <n v="0"/>
    <n v="0"/>
    <m/>
    <n v="59.8"/>
  </r>
  <r>
    <s v="USR-100328"/>
    <d v="2025-04-29T00:00:00"/>
    <x v="0"/>
    <x v="1"/>
    <x v="0"/>
    <x v="2"/>
    <s v="Free"/>
    <n v="1"/>
    <n v="0"/>
    <n v="0"/>
    <x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x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x v="0"/>
    <n v="0"/>
    <n v="0"/>
    <n v="0"/>
    <m/>
    <n v="70.900000000000006"/>
  </r>
  <r>
    <s v="USR-100331"/>
    <d v="2025-02-13T00:00:00"/>
    <x v="0"/>
    <x v="2"/>
    <x v="1"/>
    <x v="1"/>
    <s v="Free"/>
    <n v="1"/>
    <n v="1"/>
    <n v="1"/>
    <x v="1"/>
    <n v="426.82"/>
    <n v="1"/>
    <n v="0"/>
    <n v="14"/>
    <n v="68.8"/>
  </r>
  <r>
    <s v="USR-100332"/>
    <d v="2025-05-03T00:00:00"/>
    <x v="0"/>
    <x v="0"/>
    <x v="1"/>
    <x v="1"/>
    <s v="Basic"/>
    <n v="1"/>
    <n v="0"/>
    <n v="0"/>
    <x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x v="0"/>
    <n v="0"/>
    <n v="0"/>
    <n v="0"/>
    <m/>
    <n v="63.3"/>
  </r>
  <r>
    <s v="USR-100334"/>
    <d v="2025-01-10T00:00:00"/>
    <x v="0"/>
    <x v="1"/>
    <x v="2"/>
    <x v="4"/>
    <s v="Free"/>
    <n v="1"/>
    <n v="0"/>
    <n v="0"/>
    <x v="0"/>
    <n v="0"/>
    <n v="0"/>
    <n v="0"/>
    <m/>
    <n v="30.8"/>
  </r>
  <r>
    <s v="USR-100335"/>
    <d v="2025-01-16T00:00:00"/>
    <x v="0"/>
    <x v="3"/>
    <x v="1"/>
    <x v="0"/>
    <s v="Basic"/>
    <n v="1"/>
    <n v="1"/>
    <n v="1"/>
    <x v="1"/>
    <n v="874.55"/>
    <n v="0"/>
    <n v="0"/>
    <n v="9"/>
    <n v="44.2"/>
  </r>
  <r>
    <s v="USR-100336"/>
    <d v="2025-02-11T00:00:00"/>
    <x v="0"/>
    <x v="3"/>
    <x v="0"/>
    <x v="1"/>
    <s v="Premium"/>
    <n v="1"/>
    <n v="1"/>
    <n v="1"/>
    <x v="1"/>
    <n v="2206.88"/>
    <n v="0"/>
    <n v="0"/>
    <n v="10"/>
    <n v="56.2"/>
  </r>
  <r>
    <s v="USR-100337"/>
    <d v="2025-04-13T00:00:00"/>
    <x v="0"/>
    <x v="1"/>
    <x v="1"/>
    <x v="1"/>
    <s v="Free"/>
    <n v="0"/>
    <n v="0"/>
    <n v="0"/>
    <x v="0"/>
    <n v="0"/>
    <n v="0"/>
    <n v="0"/>
    <m/>
    <n v="40.4"/>
  </r>
  <r>
    <s v="USR-100338"/>
    <d v="2025-02-08T00:00:00"/>
    <x v="0"/>
    <x v="2"/>
    <x v="1"/>
    <x v="2"/>
    <s v="Free"/>
    <n v="1"/>
    <n v="1"/>
    <n v="1"/>
    <x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x v="0"/>
    <n v="0"/>
    <n v="0"/>
    <n v="0"/>
    <m/>
    <n v="86.3"/>
  </r>
  <r>
    <s v="USR-100340"/>
    <d v="2025-01-31T00:00:00"/>
    <x v="0"/>
    <x v="1"/>
    <x v="0"/>
    <x v="3"/>
    <s v="Free"/>
    <n v="1"/>
    <n v="1"/>
    <n v="0"/>
    <x v="0"/>
    <n v="0"/>
    <n v="0"/>
    <n v="0"/>
    <m/>
    <n v="42.9"/>
  </r>
  <r>
    <s v="USR-100341"/>
    <d v="2025-05-08T00:00:00"/>
    <x v="0"/>
    <x v="1"/>
    <x v="2"/>
    <x v="1"/>
    <s v="Free"/>
    <n v="0"/>
    <n v="0"/>
    <n v="0"/>
    <x v="0"/>
    <n v="0"/>
    <n v="0"/>
    <n v="0"/>
    <m/>
    <n v="61.4"/>
  </r>
  <r>
    <s v="USR-100342"/>
    <d v="2025-03-15T00:00:00"/>
    <x v="0"/>
    <x v="0"/>
    <x v="1"/>
    <x v="2"/>
    <s v="Free"/>
    <n v="1"/>
    <n v="0"/>
    <n v="0"/>
    <x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x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x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x v="0"/>
    <n v="0"/>
    <n v="0"/>
    <n v="0"/>
    <m/>
    <n v="55.3"/>
  </r>
  <r>
    <s v="USR-100346"/>
    <d v="2025-03-12T00:00:00"/>
    <x v="0"/>
    <x v="2"/>
    <x v="1"/>
    <x v="2"/>
    <s v="Free"/>
    <n v="0"/>
    <n v="0"/>
    <n v="0"/>
    <x v="0"/>
    <n v="0"/>
    <n v="0"/>
    <n v="0"/>
    <m/>
    <n v="37.5"/>
  </r>
  <r>
    <s v="USR-100347"/>
    <d v="2025-01-03T00:00:00"/>
    <x v="0"/>
    <x v="3"/>
    <x v="0"/>
    <x v="2"/>
    <s v="Free"/>
    <n v="0"/>
    <n v="0"/>
    <n v="0"/>
    <x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x v="0"/>
    <n v="0"/>
    <n v="0"/>
    <n v="0"/>
    <m/>
    <n v="61.9"/>
  </r>
  <r>
    <s v="USR-100349"/>
    <d v="2025-04-17T00:00:00"/>
    <x v="0"/>
    <x v="2"/>
    <x v="1"/>
    <x v="1"/>
    <s v="Free"/>
    <n v="0"/>
    <n v="0"/>
    <n v="0"/>
    <x v="0"/>
    <n v="0"/>
    <n v="0"/>
    <n v="0"/>
    <m/>
    <n v="56"/>
  </r>
  <r>
    <s v="USR-100350"/>
    <d v="2025-05-23T00:00:00"/>
    <x v="0"/>
    <x v="3"/>
    <x v="0"/>
    <x v="4"/>
    <s v="Basic"/>
    <n v="1"/>
    <n v="0"/>
    <n v="0"/>
    <x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x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x v="0"/>
    <n v="0"/>
    <n v="1"/>
    <n v="0"/>
    <m/>
    <n v="70.5"/>
  </r>
  <r>
    <s v="USR-100353"/>
    <d v="2025-04-17T00:00:00"/>
    <x v="0"/>
    <x v="0"/>
    <x v="1"/>
    <x v="1"/>
    <s v="Free"/>
    <n v="0"/>
    <n v="0"/>
    <n v="0"/>
    <x v="0"/>
    <n v="0"/>
    <n v="0"/>
    <n v="0"/>
    <m/>
    <n v="61.2"/>
  </r>
  <r>
    <s v="USR-100354"/>
    <d v="2025-04-12T00:00:00"/>
    <x v="0"/>
    <x v="2"/>
    <x v="2"/>
    <x v="4"/>
    <s v="Free"/>
    <n v="1"/>
    <n v="1"/>
    <n v="1"/>
    <x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x v="0"/>
    <n v="0"/>
    <n v="0"/>
    <n v="0"/>
    <m/>
    <n v="91.7"/>
  </r>
  <r>
    <s v="USR-100356"/>
    <d v="2025-03-24T00:00:00"/>
    <x v="0"/>
    <x v="1"/>
    <x v="1"/>
    <x v="4"/>
    <s v="Free"/>
    <n v="0"/>
    <n v="0"/>
    <n v="0"/>
    <x v="0"/>
    <n v="0"/>
    <n v="0"/>
    <n v="0"/>
    <m/>
    <n v="46"/>
  </r>
  <r>
    <s v="USR-100357"/>
    <d v="2025-02-16T00:00:00"/>
    <x v="0"/>
    <x v="1"/>
    <x v="1"/>
    <x v="1"/>
    <s v="Basic"/>
    <n v="0"/>
    <n v="0"/>
    <n v="0"/>
    <x v="0"/>
    <n v="0"/>
    <n v="0"/>
    <n v="0"/>
    <m/>
    <n v="50.8"/>
  </r>
  <r>
    <s v="USR-100358"/>
    <d v="2025-03-19T00:00:00"/>
    <x v="0"/>
    <x v="0"/>
    <x v="2"/>
    <x v="1"/>
    <s v="Free"/>
    <n v="1"/>
    <n v="1"/>
    <n v="1"/>
    <x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x v="0"/>
    <n v="0"/>
    <n v="0"/>
    <n v="0"/>
    <m/>
    <n v="63"/>
  </r>
  <r>
    <s v="USR-100360"/>
    <d v="2025-01-11T00:00:00"/>
    <x v="0"/>
    <x v="1"/>
    <x v="1"/>
    <x v="1"/>
    <s v="Free"/>
    <n v="0"/>
    <n v="0"/>
    <n v="0"/>
    <x v="0"/>
    <n v="0"/>
    <n v="0"/>
    <n v="0"/>
    <m/>
    <n v="28.4"/>
  </r>
  <r>
    <s v="USR-100361"/>
    <d v="2025-04-24T00:00:00"/>
    <x v="0"/>
    <x v="1"/>
    <x v="0"/>
    <x v="1"/>
    <s v="Free"/>
    <n v="1"/>
    <n v="1"/>
    <n v="0"/>
    <x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x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x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x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x v="0"/>
    <n v="0"/>
    <n v="0"/>
    <n v="0"/>
    <m/>
    <n v="56.4"/>
  </r>
  <r>
    <s v="USR-100366"/>
    <d v="2025-05-03T00:00:00"/>
    <x v="0"/>
    <x v="3"/>
    <x v="1"/>
    <x v="1"/>
    <s v="Free"/>
    <n v="1"/>
    <n v="0"/>
    <n v="0"/>
    <x v="0"/>
    <n v="0"/>
    <n v="0"/>
    <n v="0"/>
    <m/>
    <n v="79.2"/>
  </r>
  <r>
    <s v="USR-100367"/>
    <d v="2025-02-12T00:00:00"/>
    <x v="0"/>
    <x v="2"/>
    <x v="1"/>
    <x v="2"/>
    <s v="Free"/>
    <n v="1"/>
    <n v="1"/>
    <n v="1"/>
    <x v="0"/>
    <n v="0"/>
    <n v="0"/>
    <n v="0"/>
    <m/>
    <n v="60.1"/>
  </r>
  <r>
    <s v="USR-100368"/>
    <d v="2025-02-25T00:00:00"/>
    <x v="0"/>
    <x v="3"/>
    <x v="2"/>
    <x v="1"/>
    <s v="Free"/>
    <n v="0"/>
    <n v="0"/>
    <n v="0"/>
    <x v="0"/>
    <n v="0"/>
    <n v="0"/>
    <n v="0"/>
    <m/>
    <n v="58"/>
  </r>
  <r>
    <s v="USR-100369"/>
    <d v="2025-04-14T00:00:00"/>
    <x v="0"/>
    <x v="3"/>
    <x v="1"/>
    <x v="3"/>
    <s v="Free"/>
    <n v="1"/>
    <n v="1"/>
    <n v="1"/>
    <x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x v="0"/>
    <n v="0"/>
    <n v="1"/>
    <n v="0"/>
    <m/>
    <n v="80.8"/>
  </r>
  <r>
    <s v="USR-100371"/>
    <d v="2025-03-14T00:00:00"/>
    <x v="0"/>
    <x v="2"/>
    <x v="1"/>
    <x v="0"/>
    <s v="Free"/>
    <n v="0"/>
    <n v="0"/>
    <n v="0"/>
    <x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x v="0"/>
    <n v="0"/>
    <n v="0"/>
    <n v="0"/>
    <m/>
    <n v="56"/>
  </r>
  <r>
    <s v="USR-100373"/>
    <d v="2025-05-01T00:00:00"/>
    <x v="0"/>
    <x v="2"/>
    <x v="0"/>
    <x v="4"/>
    <s v="Free"/>
    <n v="1"/>
    <n v="0"/>
    <n v="0"/>
    <x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x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x v="0"/>
    <n v="0"/>
    <n v="0"/>
    <n v="0"/>
    <m/>
    <n v="48.3"/>
  </r>
  <r>
    <s v="USR-100376"/>
    <d v="2025-03-14T00:00:00"/>
    <x v="0"/>
    <x v="1"/>
    <x v="1"/>
    <x v="1"/>
    <s v="Free"/>
    <n v="1"/>
    <n v="1"/>
    <n v="0"/>
    <x v="0"/>
    <n v="0"/>
    <n v="0"/>
    <n v="0"/>
    <m/>
    <n v="43.4"/>
  </r>
  <r>
    <s v="USR-100377"/>
    <d v="2025-03-23T00:00:00"/>
    <x v="0"/>
    <x v="0"/>
    <x v="1"/>
    <x v="2"/>
    <s v="Free"/>
    <n v="0"/>
    <n v="0"/>
    <n v="0"/>
    <x v="0"/>
    <n v="0"/>
    <n v="0"/>
    <n v="0"/>
    <m/>
    <n v="43"/>
  </r>
  <r>
    <s v="USR-100378"/>
    <d v="2025-02-08T00:00:00"/>
    <x v="0"/>
    <x v="2"/>
    <x v="1"/>
    <x v="3"/>
    <s v="Basic"/>
    <n v="1"/>
    <n v="1"/>
    <n v="1"/>
    <x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x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x v="0"/>
    <n v="0"/>
    <n v="0"/>
    <n v="0"/>
    <m/>
    <n v="58.9"/>
  </r>
  <r>
    <s v="USR-100381"/>
    <d v="2025-03-23T00:00:00"/>
    <x v="0"/>
    <x v="1"/>
    <x v="1"/>
    <x v="4"/>
    <s v="Free"/>
    <n v="1"/>
    <n v="1"/>
    <n v="1"/>
    <x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x v="0"/>
    <n v="0"/>
    <n v="0"/>
    <n v="0"/>
    <m/>
    <n v="46"/>
  </r>
  <r>
    <s v="USR-100383"/>
    <d v="2025-04-30T00:00:00"/>
    <x v="0"/>
    <x v="2"/>
    <x v="1"/>
    <x v="1"/>
    <s v="Free"/>
    <n v="1"/>
    <n v="0"/>
    <n v="0"/>
    <x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x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x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x v="0"/>
    <n v="0"/>
    <n v="2"/>
    <n v="0"/>
    <m/>
    <n v="38"/>
  </r>
  <r>
    <s v="USR-100387"/>
    <d v="2025-02-09T00:00:00"/>
    <x v="0"/>
    <x v="2"/>
    <x v="1"/>
    <x v="2"/>
    <s v="Free"/>
    <n v="1"/>
    <n v="1"/>
    <n v="0"/>
    <x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x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x v="0"/>
    <n v="0"/>
    <n v="0"/>
    <n v="0"/>
    <m/>
    <n v="61"/>
  </r>
  <r>
    <s v="USR-100390"/>
    <d v="2025-01-03T00:00:00"/>
    <x v="0"/>
    <x v="3"/>
    <x v="1"/>
    <x v="2"/>
    <s v="Free"/>
    <n v="1"/>
    <n v="0"/>
    <n v="0"/>
    <x v="0"/>
    <n v="0"/>
    <n v="0"/>
    <n v="0"/>
    <m/>
    <n v="49"/>
  </r>
  <r>
    <s v="USR-100391"/>
    <d v="2025-02-13T00:00:00"/>
    <x v="0"/>
    <x v="2"/>
    <x v="1"/>
    <x v="1"/>
    <s v="Free"/>
    <n v="0"/>
    <n v="0"/>
    <n v="0"/>
    <x v="0"/>
    <n v="0"/>
    <n v="0"/>
    <n v="0"/>
    <m/>
    <n v="48.1"/>
  </r>
  <r>
    <s v="USR-100392"/>
    <d v="2025-01-14T00:00:00"/>
    <x v="0"/>
    <x v="3"/>
    <x v="0"/>
    <x v="1"/>
    <s v="Free"/>
    <n v="0"/>
    <n v="0"/>
    <n v="0"/>
    <x v="0"/>
    <n v="0"/>
    <n v="2"/>
    <n v="0"/>
    <m/>
    <n v="46.3"/>
  </r>
  <r>
    <s v="USR-100393"/>
    <d v="2025-02-24T00:00:00"/>
    <x v="0"/>
    <x v="0"/>
    <x v="1"/>
    <x v="3"/>
    <s v="Free"/>
    <n v="0"/>
    <n v="0"/>
    <n v="0"/>
    <x v="0"/>
    <n v="0"/>
    <n v="0"/>
    <n v="0"/>
    <m/>
    <n v="64"/>
  </r>
  <r>
    <s v="USR-100394"/>
    <d v="2025-05-16T00:00:00"/>
    <x v="0"/>
    <x v="1"/>
    <x v="0"/>
    <x v="1"/>
    <s v="Basic"/>
    <n v="1"/>
    <n v="1"/>
    <n v="0"/>
    <x v="0"/>
    <n v="0"/>
    <n v="0"/>
    <n v="0"/>
    <m/>
    <n v="56.2"/>
  </r>
  <r>
    <s v="USR-100395"/>
    <d v="2025-04-29T00:00:00"/>
    <x v="0"/>
    <x v="0"/>
    <x v="1"/>
    <x v="2"/>
    <s v="Free"/>
    <n v="1"/>
    <n v="1"/>
    <n v="1"/>
    <x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x v="0"/>
    <n v="0"/>
    <n v="0"/>
    <n v="0"/>
    <m/>
    <n v="59.9"/>
  </r>
  <r>
    <s v="USR-100397"/>
    <d v="2025-01-09T00:00:00"/>
    <x v="0"/>
    <x v="3"/>
    <x v="0"/>
    <x v="1"/>
    <s v="Free"/>
    <n v="1"/>
    <n v="1"/>
    <n v="0"/>
    <x v="0"/>
    <n v="0"/>
    <n v="0"/>
    <n v="0"/>
    <m/>
    <n v="63"/>
  </r>
  <r>
    <s v="USR-100398"/>
    <d v="2025-04-25T00:00:00"/>
    <x v="0"/>
    <x v="3"/>
    <x v="1"/>
    <x v="1"/>
    <s v="Free"/>
    <n v="1"/>
    <n v="1"/>
    <n v="0"/>
    <x v="0"/>
    <n v="0"/>
    <n v="0"/>
    <n v="0"/>
    <m/>
    <n v="76.5"/>
  </r>
  <r>
    <s v="USR-100399"/>
    <d v="2025-03-12T00:00:00"/>
    <x v="0"/>
    <x v="0"/>
    <x v="0"/>
    <x v="2"/>
    <s v="Free"/>
    <n v="1"/>
    <n v="0"/>
    <n v="0"/>
    <x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x v="0"/>
    <n v="0"/>
    <n v="0"/>
    <n v="0"/>
    <m/>
    <n v="80.2"/>
  </r>
  <r>
    <s v="USR-100401"/>
    <d v="2025-02-18T00:00:00"/>
    <x v="0"/>
    <x v="1"/>
    <x v="1"/>
    <x v="2"/>
    <s v="Free"/>
    <n v="1"/>
    <n v="0"/>
    <n v="0"/>
    <x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x v="0"/>
    <n v="0"/>
    <n v="0"/>
    <n v="0"/>
    <m/>
    <n v="56"/>
  </r>
  <r>
    <s v="USR-100403"/>
    <d v="2025-02-08T00:00:00"/>
    <x v="0"/>
    <x v="1"/>
    <x v="1"/>
    <x v="0"/>
    <s v="Basic"/>
    <n v="1"/>
    <n v="1"/>
    <n v="1"/>
    <x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x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x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x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x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x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x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x v="0"/>
    <n v="0"/>
    <n v="0"/>
    <n v="0"/>
    <m/>
    <n v="53.3"/>
  </r>
  <r>
    <s v="USR-100411"/>
    <d v="2025-03-07T00:00:00"/>
    <x v="0"/>
    <x v="0"/>
    <x v="1"/>
    <x v="3"/>
    <s v="Premium"/>
    <n v="1"/>
    <n v="1"/>
    <n v="1"/>
    <x v="1"/>
    <n v="2144.8200000000002"/>
    <n v="0"/>
    <n v="0"/>
    <n v="6"/>
    <n v="52.3"/>
  </r>
  <r>
    <s v="USR-100412"/>
    <d v="2025-02-26T00:00:00"/>
    <x v="0"/>
    <x v="1"/>
    <x v="0"/>
    <x v="1"/>
    <s v="Basic"/>
    <n v="1"/>
    <n v="1"/>
    <n v="0"/>
    <x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x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x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x v="0"/>
    <n v="0"/>
    <n v="0"/>
    <n v="0"/>
    <m/>
    <n v="50.1"/>
  </r>
  <r>
    <s v="USR-100416"/>
    <d v="2025-01-30T00:00:00"/>
    <x v="0"/>
    <x v="2"/>
    <x v="0"/>
    <x v="2"/>
    <s v="Free"/>
    <n v="1"/>
    <n v="1"/>
    <n v="1"/>
    <x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x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x v="0"/>
    <n v="0"/>
    <n v="0"/>
    <n v="0"/>
    <m/>
    <n v="69.7"/>
  </r>
  <r>
    <s v="USR-100419"/>
    <d v="2025-04-07T00:00:00"/>
    <x v="0"/>
    <x v="0"/>
    <x v="0"/>
    <x v="1"/>
    <s v="Free"/>
    <n v="0"/>
    <n v="0"/>
    <n v="0"/>
    <x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x v="0"/>
    <n v="0"/>
    <n v="0"/>
    <n v="0"/>
    <m/>
    <n v="71.2"/>
  </r>
  <r>
    <s v="USR-100421"/>
    <d v="2025-04-15T00:00:00"/>
    <x v="0"/>
    <x v="3"/>
    <x v="1"/>
    <x v="0"/>
    <s v="Free"/>
    <n v="1"/>
    <n v="0"/>
    <n v="0"/>
    <x v="0"/>
    <n v="0"/>
    <n v="0"/>
    <n v="0"/>
    <m/>
    <n v="39.1"/>
  </r>
  <r>
    <s v="USR-100422"/>
    <d v="2025-04-20T00:00:00"/>
    <x v="0"/>
    <x v="2"/>
    <x v="0"/>
    <x v="4"/>
    <s v="Free"/>
    <n v="1"/>
    <n v="0"/>
    <n v="0"/>
    <x v="0"/>
    <n v="0"/>
    <n v="0"/>
    <n v="0"/>
    <m/>
    <n v="42.6"/>
  </r>
  <r>
    <s v="USR-100423"/>
    <d v="2025-05-30T00:00:00"/>
    <x v="0"/>
    <x v="3"/>
    <x v="2"/>
    <x v="1"/>
    <s v="Free"/>
    <n v="0"/>
    <n v="0"/>
    <n v="0"/>
    <x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x v="0"/>
    <n v="0"/>
    <n v="0"/>
    <n v="0"/>
    <m/>
    <n v="55.6"/>
  </r>
  <r>
    <s v="USR-100425"/>
    <d v="2025-04-28T00:00:00"/>
    <x v="0"/>
    <x v="1"/>
    <x v="1"/>
    <x v="4"/>
    <s v="Free"/>
    <n v="1"/>
    <n v="0"/>
    <n v="0"/>
    <x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x v="0"/>
    <n v="0"/>
    <n v="1"/>
    <n v="0"/>
    <m/>
    <n v="28.2"/>
  </r>
  <r>
    <s v="USR-100427"/>
    <d v="2025-02-12T00:00:00"/>
    <x v="0"/>
    <x v="2"/>
    <x v="1"/>
    <x v="1"/>
    <s v="Free"/>
    <n v="0"/>
    <n v="0"/>
    <n v="0"/>
    <x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x v="0"/>
    <n v="0"/>
    <n v="0"/>
    <n v="0"/>
    <m/>
    <n v="49.9"/>
  </r>
  <r>
    <s v="USR-100429"/>
    <d v="2025-04-12T00:00:00"/>
    <x v="0"/>
    <x v="3"/>
    <x v="0"/>
    <x v="1"/>
    <s v="Free"/>
    <n v="0"/>
    <n v="0"/>
    <n v="0"/>
    <x v="0"/>
    <n v="0"/>
    <n v="0"/>
    <n v="0"/>
    <m/>
    <n v="40.4"/>
  </r>
  <r>
    <s v="USR-100430"/>
    <d v="2025-01-30T00:00:00"/>
    <x v="0"/>
    <x v="1"/>
    <x v="1"/>
    <x v="4"/>
    <s v="Free"/>
    <n v="0"/>
    <n v="0"/>
    <n v="0"/>
    <x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x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x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x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x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x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x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x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x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x v="0"/>
    <n v="0"/>
    <n v="0"/>
    <n v="0"/>
    <m/>
    <n v="49.2"/>
  </r>
  <r>
    <s v="USR-100440"/>
    <d v="2025-04-01T00:00:00"/>
    <x v="0"/>
    <x v="2"/>
    <x v="1"/>
    <x v="4"/>
    <s v="Premium"/>
    <n v="1"/>
    <n v="1"/>
    <n v="1"/>
    <x v="1"/>
    <n v="1518.83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x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x v="0"/>
    <n v="0"/>
    <n v="0"/>
    <n v="0"/>
    <m/>
    <n v="55.7"/>
  </r>
  <r>
    <s v="USR-100443"/>
    <d v="2025-04-25T00:00:00"/>
    <x v="0"/>
    <x v="3"/>
    <x v="1"/>
    <x v="4"/>
    <s v="Free"/>
    <n v="1"/>
    <n v="0"/>
    <n v="0"/>
    <x v="0"/>
    <n v="0"/>
    <n v="0"/>
    <n v="0"/>
    <m/>
    <n v="44.5"/>
  </r>
  <r>
    <s v="USR-100444"/>
    <d v="2025-04-12T00:00:00"/>
    <x v="0"/>
    <x v="1"/>
    <x v="0"/>
    <x v="3"/>
    <s v="Free"/>
    <n v="1"/>
    <n v="1"/>
    <n v="1"/>
    <x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x v="0"/>
    <n v="0"/>
    <n v="0"/>
    <n v="0"/>
    <m/>
    <n v="43.9"/>
  </r>
  <r>
    <s v="USR-100446"/>
    <d v="2025-03-30T00:00:00"/>
    <x v="0"/>
    <x v="0"/>
    <x v="0"/>
    <x v="3"/>
    <s v="Free"/>
    <n v="1"/>
    <n v="1"/>
    <n v="1"/>
    <x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x v="0"/>
    <n v="0"/>
    <n v="0"/>
    <n v="0"/>
    <m/>
    <n v="43.7"/>
  </r>
  <r>
    <s v="USR-100448"/>
    <d v="2025-04-09T00:00:00"/>
    <x v="0"/>
    <x v="2"/>
    <x v="1"/>
    <x v="1"/>
    <s v="Free"/>
    <n v="1"/>
    <n v="0"/>
    <n v="0"/>
    <x v="0"/>
    <n v="0"/>
    <n v="0"/>
    <n v="0"/>
    <m/>
    <n v="68.8"/>
  </r>
  <r>
    <s v="USR-100449"/>
    <d v="2025-01-11T00:00:00"/>
    <x v="0"/>
    <x v="1"/>
    <x v="1"/>
    <x v="1"/>
    <s v="Free"/>
    <n v="1"/>
    <n v="1"/>
    <n v="1"/>
    <x v="0"/>
    <n v="0"/>
    <n v="0"/>
    <n v="0"/>
    <m/>
    <n v="59.2"/>
  </r>
  <r>
    <s v="USR-100450"/>
    <d v="2025-03-05T00:00:00"/>
    <x v="0"/>
    <x v="2"/>
    <x v="1"/>
    <x v="2"/>
    <s v="Free"/>
    <n v="1"/>
    <n v="0"/>
    <n v="0"/>
    <x v="0"/>
    <n v="0"/>
    <n v="0"/>
    <n v="0"/>
    <m/>
    <n v="48.6"/>
  </r>
  <r>
    <s v="USR-100451"/>
    <d v="2025-02-17T00:00:00"/>
    <x v="0"/>
    <x v="0"/>
    <x v="2"/>
    <x v="4"/>
    <s v="Free"/>
    <n v="1"/>
    <n v="1"/>
    <n v="1"/>
    <x v="0"/>
    <n v="0"/>
    <n v="0"/>
    <n v="0"/>
    <m/>
    <n v="56.9"/>
  </r>
  <r>
    <s v="USR-100452"/>
    <d v="2025-05-07T00:00:00"/>
    <x v="0"/>
    <x v="0"/>
    <x v="0"/>
    <x v="2"/>
    <s v="Free"/>
    <n v="0"/>
    <n v="0"/>
    <n v="0"/>
    <x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x v="0"/>
    <n v="0"/>
    <n v="0"/>
    <n v="0"/>
    <m/>
    <n v="63.3"/>
  </r>
  <r>
    <s v="USR-100454"/>
    <d v="2025-04-21T00:00:00"/>
    <x v="0"/>
    <x v="0"/>
    <x v="1"/>
    <x v="4"/>
    <s v="Free"/>
    <n v="1"/>
    <n v="0"/>
    <n v="0"/>
    <x v="0"/>
    <n v="0"/>
    <n v="0"/>
    <n v="0"/>
    <m/>
    <n v="52.2"/>
  </r>
  <r>
    <s v="USR-100455"/>
    <d v="2025-02-25T00:00:00"/>
    <x v="0"/>
    <x v="3"/>
    <x v="2"/>
    <x v="5"/>
    <s v="Free"/>
    <n v="0"/>
    <n v="0"/>
    <n v="0"/>
    <x v="0"/>
    <n v="0"/>
    <n v="0"/>
    <n v="0"/>
    <m/>
    <n v="51.5"/>
  </r>
  <r>
    <s v="USR-100456"/>
    <d v="2025-05-14T00:00:00"/>
    <x v="0"/>
    <x v="2"/>
    <x v="0"/>
    <x v="1"/>
    <s v="Free"/>
    <n v="0"/>
    <n v="0"/>
    <n v="0"/>
    <x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x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x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x v="0"/>
    <n v="0"/>
    <n v="0"/>
    <n v="0"/>
    <m/>
    <n v="56.2"/>
  </r>
  <r>
    <s v="USR-100460"/>
    <d v="2025-03-12T00:00:00"/>
    <x v="0"/>
    <x v="3"/>
    <x v="1"/>
    <x v="2"/>
    <s v="Free"/>
    <n v="0"/>
    <n v="0"/>
    <n v="0"/>
    <x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x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x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x v="0"/>
    <n v="0"/>
    <n v="0"/>
    <n v="0"/>
    <m/>
    <n v="57.3"/>
  </r>
  <r>
    <s v="USR-100464"/>
    <d v="2025-02-20T00:00:00"/>
    <x v="0"/>
    <x v="1"/>
    <x v="0"/>
    <x v="1"/>
    <s v="Free"/>
    <n v="1"/>
    <n v="1"/>
    <n v="1"/>
    <x v="0"/>
    <n v="0"/>
    <n v="0"/>
    <n v="0"/>
    <m/>
    <n v="58.4"/>
  </r>
  <r>
    <s v="USR-100465"/>
    <d v="2025-04-12T00:00:00"/>
    <x v="0"/>
    <x v="0"/>
    <x v="1"/>
    <x v="5"/>
    <s v="Free"/>
    <n v="0"/>
    <n v="0"/>
    <n v="0"/>
    <x v="0"/>
    <n v="0"/>
    <n v="0"/>
    <n v="0"/>
    <m/>
    <n v="56.5"/>
  </r>
  <r>
    <s v="USR-100466"/>
    <d v="2025-01-08T00:00:00"/>
    <x v="0"/>
    <x v="1"/>
    <x v="1"/>
    <x v="0"/>
    <s v="Free"/>
    <n v="0"/>
    <n v="0"/>
    <n v="0"/>
    <x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x v="0"/>
    <n v="0"/>
    <n v="0"/>
    <n v="0"/>
    <m/>
    <n v="6.2"/>
  </r>
  <r>
    <s v="USR-100468"/>
    <d v="2025-05-21T00:00:00"/>
    <x v="0"/>
    <x v="2"/>
    <x v="0"/>
    <x v="0"/>
    <s v="Free"/>
    <n v="1"/>
    <n v="1"/>
    <n v="1"/>
    <x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x v="0"/>
    <n v="0"/>
    <n v="0"/>
    <n v="0"/>
    <m/>
    <n v="59.8"/>
  </r>
  <r>
    <s v="USR-100470"/>
    <d v="2025-05-20T00:00:00"/>
    <x v="0"/>
    <x v="1"/>
    <x v="1"/>
    <x v="2"/>
    <s v="Free"/>
    <n v="0"/>
    <n v="0"/>
    <n v="0"/>
    <x v="0"/>
    <n v="0"/>
    <n v="0"/>
    <n v="0"/>
    <m/>
    <n v="58.9"/>
  </r>
  <r>
    <s v="USR-100471"/>
    <d v="2025-01-09T00:00:00"/>
    <x v="0"/>
    <x v="2"/>
    <x v="0"/>
    <x v="1"/>
    <s v="Free"/>
    <n v="0"/>
    <n v="0"/>
    <n v="0"/>
    <x v="0"/>
    <n v="0"/>
    <n v="1"/>
    <n v="0"/>
    <m/>
    <n v="52.9"/>
  </r>
  <r>
    <s v="USR-100472"/>
    <d v="2025-03-07T00:00:00"/>
    <x v="0"/>
    <x v="1"/>
    <x v="1"/>
    <x v="1"/>
    <s v="Free"/>
    <n v="0"/>
    <n v="0"/>
    <n v="0"/>
    <x v="0"/>
    <n v="0"/>
    <n v="0"/>
    <n v="0"/>
    <m/>
    <n v="67.8"/>
  </r>
  <r>
    <s v="USR-100473"/>
    <d v="2025-04-23T00:00:00"/>
    <x v="0"/>
    <x v="3"/>
    <x v="1"/>
    <x v="4"/>
    <s v="Free"/>
    <n v="0"/>
    <n v="0"/>
    <n v="0"/>
    <x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x v="0"/>
    <n v="0"/>
    <n v="0"/>
    <n v="0"/>
    <m/>
    <n v="59"/>
  </r>
  <r>
    <s v="USR-100475"/>
    <d v="2025-02-14T00:00:00"/>
    <x v="0"/>
    <x v="3"/>
    <x v="1"/>
    <x v="3"/>
    <s v="Free"/>
    <n v="0"/>
    <n v="0"/>
    <n v="0"/>
    <x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x v="0"/>
    <n v="0"/>
    <n v="0"/>
    <n v="0"/>
    <m/>
    <n v="68.7"/>
  </r>
  <r>
    <s v="USR-100477"/>
    <d v="2025-04-25T00:00:00"/>
    <x v="0"/>
    <x v="3"/>
    <x v="1"/>
    <x v="3"/>
    <s v="Free"/>
    <n v="0"/>
    <n v="0"/>
    <n v="0"/>
    <x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x v="0"/>
    <n v="0"/>
    <n v="0"/>
    <n v="0"/>
    <m/>
    <n v="56.5"/>
  </r>
  <r>
    <s v="USR-100479"/>
    <d v="2025-03-18T00:00:00"/>
    <x v="0"/>
    <x v="3"/>
    <x v="1"/>
    <x v="1"/>
    <s v="Free"/>
    <n v="1"/>
    <n v="0"/>
    <n v="0"/>
    <x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x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x v="0"/>
    <n v="0"/>
    <n v="0"/>
    <n v="0"/>
    <m/>
    <n v="100"/>
  </r>
  <r>
    <s v="USR-100482"/>
    <d v="2025-02-13T00:00:00"/>
    <x v="0"/>
    <x v="0"/>
    <x v="3"/>
    <x v="1"/>
    <s v="Basic"/>
    <n v="1"/>
    <n v="1"/>
    <n v="1"/>
    <x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x v="0"/>
    <n v="0"/>
    <n v="0"/>
    <n v="0"/>
    <m/>
    <n v="41.5"/>
  </r>
  <r>
    <s v="USR-100484"/>
    <d v="2025-04-07T00:00:00"/>
    <x v="0"/>
    <x v="0"/>
    <x v="1"/>
    <x v="0"/>
    <s v="Free"/>
    <n v="0"/>
    <n v="0"/>
    <n v="0"/>
    <x v="0"/>
    <n v="0"/>
    <n v="0"/>
    <n v="0"/>
    <m/>
    <n v="86.2"/>
  </r>
  <r>
    <s v="USR-100485"/>
    <d v="2025-03-12T00:00:00"/>
    <x v="0"/>
    <x v="0"/>
    <x v="0"/>
    <x v="4"/>
    <s v="Free"/>
    <n v="1"/>
    <n v="1"/>
    <n v="1"/>
    <x v="0"/>
    <n v="0"/>
    <n v="2"/>
    <n v="0"/>
    <m/>
    <n v="50.8"/>
  </r>
  <r>
    <s v="USR-100486"/>
    <d v="2025-02-07T00:00:00"/>
    <x v="0"/>
    <x v="1"/>
    <x v="1"/>
    <x v="1"/>
    <s v="Free"/>
    <n v="1"/>
    <n v="0"/>
    <n v="0"/>
    <x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x v="0"/>
    <n v="0"/>
    <n v="0"/>
    <n v="0"/>
    <m/>
    <n v="87.5"/>
  </r>
  <r>
    <s v="USR-100488"/>
    <d v="2025-03-18T00:00:00"/>
    <x v="0"/>
    <x v="3"/>
    <x v="1"/>
    <x v="3"/>
    <s v="Free"/>
    <n v="0"/>
    <n v="0"/>
    <n v="0"/>
    <x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x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x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x v="0"/>
    <n v="0"/>
    <n v="1"/>
    <n v="0"/>
    <m/>
    <n v="44.3"/>
  </r>
  <r>
    <s v="USR-100492"/>
    <d v="2025-05-08T00:00:00"/>
    <x v="0"/>
    <x v="3"/>
    <x v="1"/>
    <x v="2"/>
    <s v="Free"/>
    <n v="1"/>
    <n v="1"/>
    <n v="0"/>
    <x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x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x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x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x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x v="0"/>
    <n v="0"/>
    <n v="1"/>
    <n v="0"/>
    <m/>
    <n v="50.5"/>
  </r>
  <r>
    <s v="USR-100498"/>
    <d v="2025-03-02T00:00:00"/>
    <x v="0"/>
    <x v="3"/>
    <x v="0"/>
    <x v="1"/>
    <s v="Free"/>
    <n v="1"/>
    <n v="0"/>
    <n v="0"/>
    <x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x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x v="0"/>
    <n v="0"/>
    <n v="0"/>
    <n v="0"/>
    <m/>
    <n v="48.3"/>
  </r>
  <r>
    <s v="USR-100501"/>
    <d v="2025-02-13T00:00:00"/>
    <x v="0"/>
    <x v="1"/>
    <x v="1"/>
    <x v="4"/>
    <s v="Free"/>
    <n v="1"/>
    <n v="1"/>
    <n v="1"/>
    <x v="1"/>
    <n v="513.61"/>
    <n v="0"/>
    <n v="0"/>
    <n v="7"/>
    <n v="41.3"/>
  </r>
  <r>
    <s v="USR-100502"/>
    <d v="2025-03-06T00:00:00"/>
    <x v="0"/>
    <x v="0"/>
    <x v="1"/>
    <x v="0"/>
    <s v="Free"/>
    <n v="0"/>
    <n v="0"/>
    <n v="0"/>
    <x v="0"/>
    <n v="0"/>
    <n v="0"/>
    <n v="0"/>
    <m/>
    <n v="61.4"/>
  </r>
  <r>
    <s v="USR-100503"/>
    <d v="2025-02-18T00:00:00"/>
    <x v="0"/>
    <x v="3"/>
    <x v="0"/>
    <x v="4"/>
    <s v="Free"/>
    <n v="0"/>
    <n v="0"/>
    <n v="0"/>
    <x v="0"/>
    <n v="0"/>
    <n v="0"/>
    <n v="0"/>
    <m/>
    <n v="57.8"/>
  </r>
  <r>
    <s v="USR-100504"/>
    <d v="2025-04-07T00:00:00"/>
    <x v="0"/>
    <x v="0"/>
    <x v="0"/>
    <x v="1"/>
    <s v="Free"/>
    <n v="0"/>
    <n v="0"/>
    <n v="0"/>
    <x v="0"/>
    <n v="0"/>
    <n v="0"/>
    <n v="0"/>
    <m/>
    <n v="78.2"/>
  </r>
  <r>
    <s v="USR-100505"/>
    <d v="2025-04-06T00:00:00"/>
    <x v="0"/>
    <x v="0"/>
    <x v="1"/>
    <x v="3"/>
    <s v="Free"/>
    <n v="0"/>
    <n v="0"/>
    <n v="0"/>
    <x v="0"/>
    <n v="0"/>
    <n v="0"/>
    <n v="0"/>
    <m/>
    <n v="63.8"/>
  </r>
  <r>
    <s v="USR-100506"/>
    <d v="2025-01-30T00:00:00"/>
    <x v="0"/>
    <x v="0"/>
    <x v="0"/>
    <x v="4"/>
    <s v="Free"/>
    <n v="1"/>
    <n v="0"/>
    <n v="0"/>
    <x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x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x v="0"/>
    <n v="0"/>
    <n v="0"/>
    <n v="0"/>
    <m/>
    <n v="50"/>
  </r>
  <r>
    <s v="USR-100509"/>
    <d v="2025-01-30T00:00:00"/>
    <x v="0"/>
    <x v="0"/>
    <x v="2"/>
    <x v="1"/>
    <s v="Free"/>
    <n v="1"/>
    <n v="0"/>
    <n v="0"/>
    <x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x v="0"/>
    <n v="0"/>
    <n v="2"/>
    <n v="0"/>
    <m/>
    <n v="47.2"/>
  </r>
  <r>
    <s v="USR-100511"/>
    <d v="2025-02-11T00:00:00"/>
    <x v="0"/>
    <x v="0"/>
    <x v="1"/>
    <x v="4"/>
    <s v="Free"/>
    <n v="1"/>
    <n v="1"/>
    <n v="0"/>
    <x v="0"/>
    <n v="0"/>
    <n v="0"/>
    <n v="0"/>
    <m/>
    <n v="56.9"/>
  </r>
  <r>
    <s v="USR-100512"/>
    <d v="2025-04-15T00:00:00"/>
    <x v="0"/>
    <x v="3"/>
    <x v="1"/>
    <x v="1"/>
    <s v="Free"/>
    <n v="0"/>
    <n v="0"/>
    <n v="0"/>
    <x v="0"/>
    <n v="0"/>
    <n v="1"/>
    <n v="0"/>
    <m/>
    <n v="57.2"/>
  </r>
  <r>
    <s v="USR-100513"/>
    <d v="2025-02-13T00:00:00"/>
    <x v="0"/>
    <x v="3"/>
    <x v="1"/>
    <x v="5"/>
    <s v="Free"/>
    <n v="1"/>
    <n v="1"/>
    <n v="0"/>
    <x v="0"/>
    <n v="0"/>
    <n v="0"/>
    <n v="0"/>
    <m/>
    <n v="31.4"/>
  </r>
  <r>
    <s v="USR-100514"/>
    <d v="2025-05-09T00:00:00"/>
    <x v="0"/>
    <x v="3"/>
    <x v="0"/>
    <x v="1"/>
    <s v="Free"/>
    <n v="0"/>
    <n v="0"/>
    <n v="0"/>
    <x v="0"/>
    <n v="0"/>
    <n v="0"/>
    <n v="0"/>
    <m/>
    <n v="71.2"/>
  </r>
  <r>
    <s v="USR-100515"/>
    <d v="2025-03-10T00:00:00"/>
    <x v="0"/>
    <x v="0"/>
    <x v="1"/>
    <x v="2"/>
    <s v="Free"/>
    <n v="1"/>
    <n v="1"/>
    <n v="1"/>
    <x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x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x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x v="0"/>
    <n v="0"/>
    <n v="0"/>
    <n v="0"/>
    <m/>
    <n v="59.5"/>
  </r>
  <r>
    <s v="USR-100519"/>
    <d v="2025-05-20T00:00:00"/>
    <x v="0"/>
    <x v="2"/>
    <x v="1"/>
    <x v="2"/>
    <s v="Free"/>
    <n v="0"/>
    <n v="0"/>
    <n v="0"/>
    <x v="0"/>
    <n v="0"/>
    <n v="0"/>
    <n v="0"/>
    <m/>
    <n v="78.8"/>
  </r>
  <r>
    <s v="USR-100520"/>
    <d v="2025-05-16T00:00:00"/>
    <x v="0"/>
    <x v="1"/>
    <x v="0"/>
    <x v="3"/>
    <s v="Free"/>
    <n v="0"/>
    <n v="0"/>
    <n v="0"/>
    <x v="0"/>
    <n v="0"/>
    <n v="0"/>
    <n v="0"/>
    <m/>
    <n v="54"/>
  </r>
  <r>
    <s v="USR-100521"/>
    <d v="2025-03-17T00:00:00"/>
    <x v="0"/>
    <x v="1"/>
    <x v="1"/>
    <x v="1"/>
    <s v="Free"/>
    <n v="1"/>
    <n v="0"/>
    <n v="0"/>
    <x v="0"/>
    <n v="0"/>
    <n v="0"/>
    <n v="0"/>
    <m/>
    <n v="66.3"/>
  </r>
  <r>
    <s v="USR-100522"/>
    <d v="2025-01-27T00:00:00"/>
    <x v="0"/>
    <x v="2"/>
    <x v="2"/>
    <x v="2"/>
    <s v="Free"/>
    <n v="1"/>
    <n v="1"/>
    <n v="0"/>
    <x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x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x v="0"/>
    <n v="0"/>
    <n v="2"/>
    <n v="0"/>
    <m/>
    <n v="47.4"/>
  </r>
  <r>
    <s v="USR-100525"/>
    <d v="2025-03-30T00:00:00"/>
    <x v="0"/>
    <x v="0"/>
    <x v="1"/>
    <x v="1"/>
    <s v="Free"/>
    <n v="1"/>
    <n v="1"/>
    <n v="1"/>
    <x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x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x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x v="0"/>
    <n v="0"/>
    <n v="0"/>
    <n v="0"/>
    <m/>
    <n v="66.5"/>
  </r>
  <r>
    <s v="USR-100529"/>
    <d v="2025-05-14T00:00:00"/>
    <x v="0"/>
    <x v="2"/>
    <x v="2"/>
    <x v="4"/>
    <s v="Free"/>
    <n v="1"/>
    <n v="0"/>
    <n v="0"/>
    <x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x v="0"/>
    <n v="0"/>
    <n v="0"/>
    <n v="0"/>
    <m/>
    <n v="64.3"/>
  </r>
  <r>
    <s v="USR-100531"/>
    <d v="2025-02-11T00:00:00"/>
    <x v="0"/>
    <x v="3"/>
    <x v="1"/>
    <x v="1"/>
    <s v="Free"/>
    <n v="0"/>
    <n v="0"/>
    <n v="0"/>
    <x v="0"/>
    <n v="0"/>
    <n v="0"/>
    <n v="0"/>
    <m/>
    <n v="49.1"/>
  </r>
  <r>
    <s v="USR-100532"/>
    <d v="2025-02-13T00:00:00"/>
    <x v="0"/>
    <x v="1"/>
    <x v="1"/>
    <x v="1"/>
    <s v="Free"/>
    <n v="1"/>
    <n v="0"/>
    <n v="0"/>
    <x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x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x v="0"/>
    <n v="0"/>
    <n v="0"/>
    <n v="0"/>
    <m/>
    <n v="47.1"/>
  </r>
  <r>
    <s v="USR-100535"/>
    <d v="2025-02-16T00:00:00"/>
    <x v="0"/>
    <x v="0"/>
    <x v="0"/>
    <x v="2"/>
    <s v="Free"/>
    <n v="1"/>
    <n v="1"/>
    <n v="1"/>
    <x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x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x v="0"/>
    <n v="0"/>
    <n v="1"/>
    <n v="0"/>
    <m/>
    <n v="65.2"/>
  </r>
  <r>
    <s v="USR-100538"/>
    <d v="2025-01-25T00:00:00"/>
    <x v="0"/>
    <x v="2"/>
    <x v="1"/>
    <x v="4"/>
    <s v="Free"/>
    <n v="1"/>
    <n v="0"/>
    <n v="0"/>
    <x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x v="0"/>
    <n v="0"/>
    <n v="1"/>
    <n v="0"/>
    <m/>
    <n v="42.1"/>
  </r>
  <r>
    <s v="USR-100540"/>
    <d v="2025-03-31T00:00:00"/>
    <x v="0"/>
    <x v="1"/>
    <x v="2"/>
    <x v="2"/>
    <s v="Free"/>
    <n v="1"/>
    <n v="0"/>
    <n v="0"/>
    <x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x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x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x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x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x v="0"/>
    <n v="0"/>
    <n v="0"/>
    <n v="0"/>
    <m/>
    <m/>
  </r>
  <r>
    <s v="USR-100546"/>
    <d v="2025-03-18T00:00:00"/>
    <x v="0"/>
    <x v="2"/>
    <x v="1"/>
    <x v="2"/>
    <s v="Basic"/>
    <n v="1"/>
    <n v="1"/>
    <n v="1"/>
    <x v="0"/>
    <n v="0"/>
    <n v="0"/>
    <n v="0"/>
    <m/>
    <n v="45.3"/>
  </r>
  <r>
    <s v="USR-100547"/>
    <d v="2025-05-20T00:00:00"/>
    <x v="0"/>
    <x v="0"/>
    <x v="2"/>
    <x v="2"/>
    <s v="Free"/>
    <n v="1"/>
    <n v="0"/>
    <n v="0"/>
    <x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x v="0"/>
    <n v="0"/>
    <n v="0"/>
    <n v="0"/>
    <m/>
    <n v="37.1"/>
  </r>
  <r>
    <s v="USR-100549"/>
    <d v="2025-05-30T00:00:00"/>
    <x v="0"/>
    <x v="2"/>
    <x v="0"/>
    <x v="4"/>
    <s v="Free"/>
    <n v="1"/>
    <n v="0"/>
    <n v="0"/>
    <x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x v="0"/>
    <n v="0"/>
    <n v="2"/>
    <n v="0"/>
    <m/>
    <n v="55.9"/>
  </r>
  <r>
    <s v="USR-100551"/>
    <d v="2025-02-11T00:00:00"/>
    <x v="0"/>
    <x v="2"/>
    <x v="3"/>
    <x v="4"/>
    <s v="Free"/>
    <n v="1"/>
    <n v="1"/>
    <n v="0"/>
    <x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x v="0"/>
    <n v="0"/>
    <n v="0"/>
    <n v="0"/>
    <m/>
    <n v="64.3"/>
  </r>
  <r>
    <s v="USR-100553"/>
    <d v="2025-05-03T00:00:00"/>
    <x v="0"/>
    <x v="0"/>
    <x v="1"/>
    <x v="1"/>
    <s v="Free"/>
    <n v="0"/>
    <n v="0"/>
    <n v="0"/>
    <x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x v="0"/>
    <n v="0"/>
    <n v="0"/>
    <n v="0"/>
    <m/>
    <n v="89.8"/>
  </r>
  <r>
    <s v="USR-100555"/>
    <d v="2025-02-11T00:00:00"/>
    <x v="0"/>
    <x v="3"/>
    <x v="3"/>
    <x v="1"/>
    <s v="Free"/>
    <n v="1"/>
    <n v="1"/>
    <n v="1"/>
    <x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x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x v="0"/>
    <n v="0"/>
    <n v="0"/>
    <n v="0"/>
    <m/>
    <n v="46.2"/>
  </r>
  <r>
    <s v="USR-100558"/>
    <d v="2025-01-09T00:00:00"/>
    <x v="0"/>
    <x v="0"/>
    <x v="0"/>
    <x v="2"/>
    <s v="Free"/>
    <n v="0"/>
    <n v="0"/>
    <n v="0"/>
    <x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x v="0"/>
    <n v="0"/>
    <n v="0"/>
    <n v="0"/>
    <m/>
    <n v="62.3"/>
  </r>
  <r>
    <s v="USR-100560"/>
    <d v="2025-03-08T00:00:00"/>
    <x v="0"/>
    <x v="0"/>
    <x v="1"/>
    <x v="1"/>
    <s v="Free"/>
    <n v="1"/>
    <n v="0"/>
    <n v="0"/>
    <x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x v="0"/>
    <n v="0"/>
    <n v="0"/>
    <n v="0"/>
    <m/>
    <n v="25"/>
  </r>
  <r>
    <s v="USR-100562"/>
    <d v="2025-03-30T00:00:00"/>
    <x v="0"/>
    <x v="2"/>
    <x v="1"/>
    <x v="4"/>
    <s v="Basic"/>
    <n v="0"/>
    <n v="0"/>
    <n v="0"/>
    <x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x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x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x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x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x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x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x v="0"/>
    <n v="0"/>
    <n v="0"/>
    <n v="0"/>
    <m/>
    <n v="47.2"/>
  </r>
  <r>
    <s v="USR-100570"/>
    <d v="2025-01-07T00:00:00"/>
    <x v="0"/>
    <x v="0"/>
    <x v="1"/>
    <x v="3"/>
    <s v="Free"/>
    <n v="1"/>
    <n v="0"/>
    <n v="0"/>
    <x v="0"/>
    <n v="0"/>
    <n v="2"/>
    <n v="0"/>
    <m/>
    <n v="20.3"/>
  </r>
  <r>
    <s v="USR-100571"/>
    <d v="2025-03-06T00:00:00"/>
    <x v="0"/>
    <x v="1"/>
    <x v="1"/>
    <x v="2"/>
    <s v="Free"/>
    <n v="0"/>
    <n v="0"/>
    <n v="0"/>
    <x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x v="0"/>
    <n v="0"/>
    <n v="0"/>
    <n v="0"/>
    <m/>
    <n v="78.7"/>
  </r>
  <r>
    <s v="USR-100573"/>
    <d v="2025-05-31T00:00:00"/>
    <x v="0"/>
    <x v="3"/>
    <x v="0"/>
    <x v="1"/>
    <s v="Free"/>
    <n v="1"/>
    <n v="0"/>
    <n v="0"/>
    <x v="0"/>
    <n v="0"/>
    <n v="0"/>
    <n v="0"/>
    <m/>
    <n v="63.6"/>
  </r>
  <r>
    <s v="USR-100574"/>
    <d v="2025-02-20T00:00:00"/>
    <x v="0"/>
    <x v="3"/>
    <x v="1"/>
    <x v="0"/>
    <s v="Free"/>
    <n v="0"/>
    <n v="0"/>
    <n v="0"/>
    <x v="0"/>
    <n v="0"/>
    <n v="2"/>
    <n v="0"/>
    <m/>
    <n v="45.1"/>
  </r>
  <r>
    <s v="USR-100575"/>
    <d v="2025-01-13T00:00:00"/>
    <x v="0"/>
    <x v="1"/>
    <x v="1"/>
    <x v="4"/>
    <s v="Free"/>
    <n v="0"/>
    <n v="0"/>
    <n v="0"/>
    <x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x v="0"/>
    <n v="0"/>
    <n v="0"/>
    <n v="0"/>
    <m/>
    <n v="58"/>
  </r>
  <r>
    <s v="USR-100577"/>
    <d v="2025-04-21T00:00:00"/>
    <x v="0"/>
    <x v="3"/>
    <x v="2"/>
    <x v="1"/>
    <s v="Free"/>
    <n v="1"/>
    <n v="0"/>
    <n v="0"/>
    <x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x v="0"/>
    <n v="0"/>
    <n v="0"/>
    <n v="0"/>
    <m/>
    <n v="35.4"/>
  </r>
  <r>
    <s v="USR-100579"/>
    <d v="2025-03-10T00:00:00"/>
    <x v="0"/>
    <x v="1"/>
    <x v="2"/>
    <x v="1"/>
    <s v="Free"/>
    <n v="0"/>
    <n v="0"/>
    <n v="0"/>
    <x v="0"/>
    <n v="0"/>
    <n v="0"/>
    <n v="0"/>
    <m/>
    <n v="47"/>
  </r>
  <r>
    <s v="USR-100580"/>
    <d v="2025-03-08T00:00:00"/>
    <x v="0"/>
    <x v="2"/>
    <x v="0"/>
    <x v="2"/>
    <s v="Free"/>
    <n v="0"/>
    <n v="0"/>
    <n v="0"/>
    <x v="0"/>
    <n v="0"/>
    <n v="0"/>
    <n v="0"/>
    <m/>
    <n v="75"/>
  </r>
  <r>
    <s v="USR-100581"/>
    <d v="2025-05-26T00:00:00"/>
    <x v="0"/>
    <x v="3"/>
    <x v="0"/>
    <x v="2"/>
    <s v="Free"/>
    <n v="1"/>
    <n v="1"/>
    <n v="1"/>
    <x v="0"/>
    <n v="0"/>
    <n v="3"/>
    <n v="0"/>
    <m/>
    <n v="50.2"/>
  </r>
  <r>
    <s v="USR-100582"/>
    <d v="2025-05-20T00:00:00"/>
    <x v="0"/>
    <x v="2"/>
    <x v="0"/>
    <x v="2"/>
    <s v="Free"/>
    <n v="1"/>
    <n v="0"/>
    <n v="0"/>
    <x v="0"/>
    <n v="0"/>
    <n v="0"/>
    <n v="0"/>
    <m/>
    <n v="40.1"/>
  </r>
  <r>
    <s v="USR-100583"/>
    <d v="2025-03-22T00:00:00"/>
    <x v="0"/>
    <x v="1"/>
    <x v="0"/>
    <x v="2"/>
    <s v="Free"/>
    <n v="0"/>
    <n v="0"/>
    <n v="0"/>
    <x v="0"/>
    <n v="0"/>
    <n v="0"/>
    <n v="0"/>
    <m/>
    <n v="61.1"/>
  </r>
  <r>
    <s v="USR-100584"/>
    <d v="2025-02-15T00:00:00"/>
    <x v="0"/>
    <x v="3"/>
    <x v="0"/>
    <x v="2"/>
    <s v="Free"/>
    <n v="0"/>
    <n v="0"/>
    <n v="0"/>
    <x v="0"/>
    <n v="0"/>
    <n v="0"/>
    <n v="0"/>
    <m/>
    <n v="42.4"/>
  </r>
  <r>
    <s v="USR-100585"/>
    <d v="2025-01-08T00:00:00"/>
    <x v="0"/>
    <x v="0"/>
    <x v="1"/>
    <x v="4"/>
    <s v="Free"/>
    <n v="0"/>
    <n v="0"/>
    <n v="0"/>
    <x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x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x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x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x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x v="0"/>
    <n v="0"/>
    <n v="2"/>
    <n v="0"/>
    <m/>
    <n v="52.3"/>
  </r>
  <r>
    <s v="USR-100591"/>
    <d v="2025-04-04T00:00:00"/>
    <x v="0"/>
    <x v="2"/>
    <x v="1"/>
    <x v="2"/>
    <s v="Free"/>
    <n v="1"/>
    <n v="0"/>
    <n v="0"/>
    <x v="0"/>
    <n v="0"/>
    <n v="0"/>
    <n v="0"/>
    <m/>
    <n v="62.5"/>
  </r>
  <r>
    <s v="USR-100592"/>
    <d v="2025-01-29T00:00:00"/>
    <x v="0"/>
    <x v="0"/>
    <x v="2"/>
    <x v="4"/>
    <s v="Free"/>
    <n v="1"/>
    <n v="0"/>
    <n v="0"/>
    <x v="0"/>
    <n v="0"/>
    <n v="0"/>
    <n v="0"/>
    <m/>
    <n v="69.8"/>
  </r>
  <r>
    <s v="USR-100593"/>
    <d v="2025-04-19T00:00:00"/>
    <x v="0"/>
    <x v="2"/>
    <x v="1"/>
    <x v="0"/>
    <s v="Free"/>
    <n v="1"/>
    <n v="0"/>
    <n v="0"/>
    <x v="0"/>
    <n v="0"/>
    <n v="0"/>
    <n v="0"/>
    <m/>
    <n v="68.2"/>
  </r>
  <r>
    <s v="USR-100594"/>
    <d v="2025-03-10T00:00:00"/>
    <x v="0"/>
    <x v="3"/>
    <x v="1"/>
    <x v="4"/>
    <s v="Basic"/>
    <n v="1"/>
    <n v="1"/>
    <n v="1"/>
    <x v="1"/>
    <n v="751.73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x v="0"/>
    <n v="0"/>
    <n v="0"/>
    <n v="0"/>
    <m/>
    <n v="59.3"/>
  </r>
  <r>
    <s v="USR-100596"/>
    <d v="2025-02-02T00:00:00"/>
    <x v="0"/>
    <x v="0"/>
    <x v="1"/>
    <x v="4"/>
    <s v="Free"/>
    <n v="0"/>
    <n v="0"/>
    <n v="0"/>
    <x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x v="0"/>
    <n v="0"/>
    <n v="0"/>
    <n v="0"/>
    <m/>
    <n v="74.8"/>
  </r>
  <r>
    <s v="USR-100598"/>
    <d v="2025-01-19T00:00:00"/>
    <x v="0"/>
    <x v="1"/>
    <x v="0"/>
    <x v="1"/>
    <s v="Free"/>
    <n v="1"/>
    <n v="1"/>
    <n v="1"/>
    <x v="0"/>
    <n v="0"/>
    <n v="0"/>
    <n v="0"/>
    <m/>
    <n v="61.7"/>
  </r>
  <r>
    <s v="USR-100599"/>
    <d v="2025-01-02T00:00:00"/>
    <x v="0"/>
    <x v="0"/>
    <x v="1"/>
    <x v="1"/>
    <s v="Free"/>
    <n v="1"/>
    <n v="0"/>
    <n v="0"/>
    <x v="0"/>
    <n v="0"/>
    <n v="0"/>
    <n v="0"/>
    <m/>
    <n v="24.3"/>
  </r>
  <r>
    <s v="USR-100600"/>
    <d v="2025-05-03T00:00:00"/>
    <x v="0"/>
    <x v="3"/>
    <x v="0"/>
    <x v="2"/>
    <s v="Free"/>
    <n v="0"/>
    <n v="0"/>
    <n v="0"/>
    <x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x v="0"/>
    <n v="0"/>
    <n v="2"/>
    <n v="0"/>
    <m/>
    <n v="41.7"/>
  </r>
  <r>
    <s v="USR-100602"/>
    <d v="2025-02-09T00:00:00"/>
    <x v="0"/>
    <x v="3"/>
    <x v="0"/>
    <x v="4"/>
    <s v="Free"/>
    <n v="1"/>
    <n v="0"/>
    <n v="0"/>
    <x v="0"/>
    <n v="0"/>
    <n v="0"/>
    <n v="0"/>
    <m/>
    <n v="87.6"/>
  </r>
  <r>
    <s v="USR-100603"/>
    <d v="2025-05-18T00:00:00"/>
    <x v="0"/>
    <x v="2"/>
    <x v="1"/>
    <x v="2"/>
    <s v="Free"/>
    <n v="1"/>
    <n v="0"/>
    <n v="0"/>
    <x v="0"/>
    <n v="0"/>
    <n v="0"/>
    <n v="0"/>
    <m/>
    <n v="30.8"/>
  </r>
  <r>
    <s v="USR-100604"/>
    <d v="2025-05-17T00:00:00"/>
    <x v="0"/>
    <x v="0"/>
    <x v="1"/>
    <x v="0"/>
    <s v="Free"/>
    <n v="0"/>
    <n v="0"/>
    <n v="0"/>
    <x v="0"/>
    <n v="0"/>
    <n v="0"/>
    <n v="0"/>
    <m/>
    <n v="54"/>
  </r>
  <r>
    <s v="USR-100605"/>
    <d v="2025-01-25T00:00:00"/>
    <x v="0"/>
    <x v="2"/>
    <x v="0"/>
    <x v="3"/>
    <s v="Basic"/>
    <n v="1"/>
    <n v="0"/>
    <n v="0"/>
    <x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x v="0"/>
    <n v="0"/>
    <n v="0"/>
    <n v="0"/>
    <m/>
    <n v="61.3"/>
  </r>
  <r>
    <s v="USR-100607"/>
    <d v="2025-04-14T00:00:00"/>
    <x v="0"/>
    <x v="1"/>
    <x v="1"/>
    <x v="1"/>
    <s v="Free"/>
    <n v="1"/>
    <n v="0"/>
    <n v="0"/>
    <x v="0"/>
    <n v="0"/>
    <n v="0"/>
    <n v="0"/>
    <m/>
    <n v="62.7"/>
  </r>
  <r>
    <s v="USR-100608"/>
    <d v="2025-04-18T00:00:00"/>
    <x v="0"/>
    <x v="3"/>
    <x v="1"/>
    <x v="2"/>
    <s v="Free"/>
    <n v="1"/>
    <n v="1"/>
    <n v="0"/>
    <x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x v="0"/>
    <n v="0"/>
    <n v="0"/>
    <n v="0"/>
    <m/>
    <n v="59.9"/>
  </r>
  <r>
    <s v="USR-100610"/>
    <d v="2025-04-19T00:00:00"/>
    <x v="0"/>
    <x v="0"/>
    <x v="2"/>
    <x v="2"/>
    <s v="Free"/>
    <n v="1"/>
    <n v="1"/>
    <n v="1"/>
    <x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x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x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x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x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x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x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x v="0"/>
    <n v="0"/>
    <n v="2"/>
    <n v="0"/>
    <m/>
    <n v="50.4"/>
  </r>
  <r>
    <s v="USR-100618"/>
    <d v="2025-03-01T00:00:00"/>
    <x v="0"/>
    <x v="1"/>
    <x v="1"/>
    <x v="4"/>
    <s v="Free"/>
    <n v="1"/>
    <n v="0"/>
    <n v="0"/>
    <x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x v="0"/>
    <n v="0"/>
    <n v="0"/>
    <n v="0"/>
    <m/>
    <n v="58"/>
  </r>
  <r>
    <s v="USR-100620"/>
    <d v="2025-01-11T00:00:00"/>
    <x v="0"/>
    <x v="0"/>
    <x v="1"/>
    <x v="2"/>
    <s v="Free"/>
    <n v="0"/>
    <n v="0"/>
    <n v="0"/>
    <x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x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x v="0"/>
    <n v="0"/>
    <n v="0"/>
    <n v="0"/>
    <m/>
    <n v="51.8"/>
  </r>
  <r>
    <s v="USR-100623"/>
    <d v="2025-05-01T00:00:00"/>
    <x v="0"/>
    <x v="3"/>
    <x v="1"/>
    <x v="2"/>
    <s v="Free"/>
    <n v="0"/>
    <n v="0"/>
    <n v="0"/>
    <x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x v="0"/>
    <n v="0"/>
    <n v="0"/>
    <n v="0"/>
    <m/>
    <n v="75.8"/>
  </r>
  <r>
    <s v="USR-100625"/>
    <d v="2025-04-05T00:00:00"/>
    <x v="0"/>
    <x v="2"/>
    <x v="1"/>
    <x v="0"/>
    <s v="Free"/>
    <n v="1"/>
    <n v="1"/>
    <n v="0"/>
    <x v="0"/>
    <n v="0"/>
    <n v="0"/>
    <n v="0"/>
    <m/>
    <n v="72.8"/>
  </r>
  <r>
    <s v="USR-100626"/>
    <d v="2025-02-24T00:00:00"/>
    <x v="0"/>
    <x v="0"/>
    <x v="0"/>
    <x v="4"/>
    <s v="Free"/>
    <n v="1"/>
    <n v="1"/>
    <n v="0"/>
    <x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x v="0"/>
    <n v="0"/>
    <n v="0"/>
    <n v="0"/>
    <m/>
    <n v="51.8"/>
  </r>
  <r>
    <s v="USR-100628"/>
    <d v="2025-04-10T00:00:00"/>
    <x v="0"/>
    <x v="3"/>
    <x v="1"/>
    <x v="2"/>
    <s v="Free"/>
    <n v="0"/>
    <n v="0"/>
    <n v="0"/>
    <x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x v="0"/>
    <n v="0"/>
    <n v="0"/>
    <n v="0"/>
    <m/>
    <n v="61.7"/>
  </r>
  <r>
    <s v="USR-100630"/>
    <d v="2025-03-22T00:00:00"/>
    <x v="0"/>
    <x v="0"/>
    <x v="1"/>
    <x v="4"/>
    <s v="Free"/>
    <n v="0"/>
    <n v="0"/>
    <n v="0"/>
    <x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x v="0"/>
    <n v="0"/>
    <n v="0"/>
    <n v="0"/>
    <m/>
    <n v="60"/>
  </r>
  <r>
    <s v="USR-100632"/>
    <d v="2025-03-16T00:00:00"/>
    <x v="0"/>
    <x v="0"/>
    <x v="1"/>
    <x v="4"/>
    <s v="Free"/>
    <n v="1"/>
    <n v="0"/>
    <n v="0"/>
    <x v="0"/>
    <n v="0"/>
    <n v="0"/>
    <n v="0"/>
    <m/>
    <m/>
  </r>
  <r>
    <s v="USR-100633"/>
    <d v="2025-03-07T00:00:00"/>
    <x v="0"/>
    <x v="2"/>
    <x v="1"/>
    <x v="2"/>
    <s v="Free"/>
    <n v="1"/>
    <n v="0"/>
    <n v="0"/>
    <x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x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x v="0"/>
    <n v="0"/>
    <n v="3"/>
    <n v="0"/>
    <m/>
    <n v="56"/>
  </r>
  <r>
    <s v="USR-100636"/>
    <d v="2025-01-14T00:00:00"/>
    <x v="0"/>
    <x v="1"/>
    <x v="1"/>
    <x v="1"/>
    <s v="Free"/>
    <n v="0"/>
    <n v="0"/>
    <n v="0"/>
    <x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x v="0"/>
    <n v="0"/>
    <n v="0"/>
    <n v="0"/>
    <m/>
    <n v="42.5"/>
  </r>
  <r>
    <s v="USR-100638"/>
    <d v="2025-05-12T00:00:00"/>
    <x v="0"/>
    <x v="2"/>
    <x v="0"/>
    <x v="0"/>
    <s v="Free"/>
    <n v="1"/>
    <n v="1"/>
    <n v="1"/>
    <x v="0"/>
    <n v="0"/>
    <n v="0"/>
    <n v="0"/>
    <m/>
    <n v="65.3"/>
  </r>
  <r>
    <s v="USR-100639"/>
    <d v="2025-05-10T00:00:00"/>
    <x v="0"/>
    <x v="1"/>
    <x v="1"/>
    <x v="2"/>
    <s v="Free"/>
    <n v="0"/>
    <n v="0"/>
    <n v="0"/>
    <x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x v="0"/>
    <n v="0"/>
    <n v="0"/>
    <n v="0"/>
    <m/>
    <n v="57.8"/>
  </r>
  <r>
    <s v="USR-100641"/>
    <d v="2025-05-26T00:00:00"/>
    <x v="0"/>
    <x v="0"/>
    <x v="1"/>
    <x v="4"/>
    <s v="Free"/>
    <n v="1"/>
    <n v="0"/>
    <n v="0"/>
    <x v="0"/>
    <n v="0"/>
    <n v="0"/>
    <n v="0"/>
    <m/>
    <n v="52.7"/>
  </r>
  <r>
    <s v="USR-100642"/>
    <d v="2025-02-12T00:00:00"/>
    <x v="0"/>
    <x v="0"/>
    <x v="1"/>
    <x v="1"/>
    <s v="Free"/>
    <n v="1"/>
    <n v="0"/>
    <n v="0"/>
    <x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x v="0"/>
    <n v="0"/>
    <n v="0"/>
    <n v="0"/>
    <m/>
    <n v="57"/>
  </r>
  <r>
    <s v="USR-100644"/>
    <d v="2025-01-18T00:00:00"/>
    <x v="0"/>
    <x v="3"/>
    <x v="0"/>
    <x v="1"/>
    <s v="Basic"/>
    <n v="0"/>
    <n v="0"/>
    <n v="0"/>
    <x v="0"/>
    <n v="0"/>
    <n v="0"/>
    <n v="0"/>
    <m/>
    <n v="39.5"/>
  </r>
  <r>
    <s v="USR-100645"/>
    <d v="2025-04-06T00:00:00"/>
    <x v="0"/>
    <x v="2"/>
    <x v="2"/>
    <x v="1"/>
    <s v="Free"/>
    <n v="1"/>
    <n v="0"/>
    <n v="0"/>
    <x v="0"/>
    <n v="0"/>
    <n v="0"/>
    <n v="0"/>
    <m/>
    <n v="76.5"/>
  </r>
  <r>
    <s v="USR-100646"/>
    <d v="2025-04-17T00:00:00"/>
    <x v="0"/>
    <x v="2"/>
    <x v="1"/>
    <x v="1"/>
    <s v="Free"/>
    <n v="1"/>
    <n v="0"/>
    <n v="0"/>
    <x v="0"/>
    <n v="0"/>
    <n v="0"/>
    <n v="0"/>
    <m/>
    <n v="32.4"/>
  </r>
  <r>
    <s v="USR-100647"/>
    <d v="2025-02-07T00:00:00"/>
    <x v="0"/>
    <x v="0"/>
    <x v="0"/>
    <x v="2"/>
    <s v="Free"/>
    <n v="0"/>
    <n v="0"/>
    <n v="0"/>
    <x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x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x v="0"/>
    <n v="0"/>
    <n v="0"/>
    <n v="0"/>
    <m/>
    <n v="54.5"/>
  </r>
  <r>
    <s v="USR-100650"/>
    <d v="2025-05-06T00:00:00"/>
    <x v="0"/>
    <x v="3"/>
    <x v="1"/>
    <x v="3"/>
    <s v="Free"/>
    <n v="1"/>
    <n v="0"/>
    <n v="0"/>
    <x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x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x v="0"/>
    <n v="0"/>
    <n v="0"/>
    <n v="0"/>
    <m/>
    <n v="52.9"/>
  </r>
  <r>
    <s v="USR-100653"/>
    <d v="2025-05-09T00:00:00"/>
    <x v="0"/>
    <x v="1"/>
    <x v="1"/>
    <x v="1"/>
    <s v="Free"/>
    <n v="1"/>
    <n v="0"/>
    <n v="0"/>
    <x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x v="0"/>
    <n v="0"/>
    <n v="0"/>
    <n v="0"/>
    <m/>
    <n v="74.2"/>
  </r>
  <r>
    <s v="USR-100655"/>
    <d v="2025-01-12T00:00:00"/>
    <x v="0"/>
    <x v="1"/>
    <x v="1"/>
    <x v="1"/>
    <s v="Free"/>
    <n v="0"/>
    <n v="0"/>
    <n v="0"/>
    <x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x v="0"/>
    <n v="0"/>
    <n v="0"/>
    <n v="0"/>
    <m/>
    <n v="62"/>
  </r>
  <r>
    <s v="USR-100657"/>
    <d v="2025-04-02T00:00:00"/>
    <x v="0"/>
    <x v="3"/>
    <x v="1"/>
    <x v="1"/>
    <s v="Basic"/>
    <n v="0"/>
    <n v="0"/>
    <n v="0"/>
    <x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x v="0"/>
    <n v="0"/>
    <n v="0"/>
    <n v="0"/>
    <m/>
    <n v="62.8"/>
  </r>
  <r>
    <s v="USR-100659"/>
    <d v="2025-03-07T00:00:00"/>
    <x v="0"/>
    <x v="2"/>
    <x v="1"/>
    <x v="3"/>
    <s v="Free"/>
    <n v="0"/>
    <n v="0"/>
    <n v="0"/>
    <x v="0"/>
    <n v="0"/>
    <n v="0"/>
    <n v="0"/>
    <m/>
    <n v="73.099999999999994"/>
  </r>
  <r>
    <s v="USR-100660"/>
    <d v="2025-04-20T00:00:00"/>
    <x v="0"/>
    <x v="3"/>
    <x v="0"/>
    <x v="4"/>
    <s v="Free"/>
    <n v="1"/>
    <n v="1"/>
    <n v="1"/>
    <x v="1"/>
    <n v="347.52"/>
    <n v="0"/>
    <n v="0"/>
    <n v="2"/>
    <n v="57.2"/>
  </r>
  <r>
    <s v="USR-100661"/>
    <d v="2025-01-07T00:00:00"/>
    <x v="0"/>
    <x v="3"/>
    <x v="1"/>
    <x v="2"/>
    <s v="Free"/>
    <n v="1"/>
    <n v="0"/>
    <n v="0"/>
    <x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x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x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x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x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x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x v="0"/>
    <n v="0"/>
    <n v="0"/>
    <n v="0"/>
    <m/>
    <n v="48.2"/>
  </r>
  <r>
    <s v="USR-100668"/>
    <d v="2025-01-30T00:00:00"/>
    <x v="0"/>
    <x v="3"/>
    <x v="1"/>
    <x v="4"/>
    <s v="Free"/>
    <n v="1"/>
    <n v="1"/>
    <n v="0"/>
    <x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x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x v="0"/>
    <n v="0"/>
    <n v="0"/>
    <n v="0"/>
    <m/>
    <n v="30.7"/>
  </r>
  <r>
    <s v="USR-100671"/>
    <d v="2025-04-30T00:00:00"/>
    <x v="0"/>
    <x v="2"/>
    <x v="0"/>
    <x v="2"/>
    <s v="Free"/>
    <n v="1"/>
    <n v="0"/>
    <n v="0"/>
    <x v="0"/>
    <n v="0"/>
    <n v="0"/>
    <n v="0"/>
    <m/>
    <n v="58.4"/>
  </r>
  <r>
    <s v="USR-100672"/>
    <d v="2025-03-22T00:00:00"/>
    <x v="0"/>
    <x v="1"/>
    <x v="1"/>
    <x v="3"/>
    <s v="Free"/>
    <n v="1"/>
    <n v="1"/>
    <n v="0"/>
    <x v="0"/>
    <n v="0"/>
    <n v="0"/>
    <n v="0"/>
    <m/>
    <n v="52.6"/>
  </r>
  <r>
    <s v="USR-100673"/>
    <d v="2025-01-10T00:00:00"/>
    <x v="0"/>
    <x v="1"/>
    <x v="3"/>
    <x v="2"/>
    <s v="Free"/>
    <n v="1"/>
    <n v="0"/>
    <n v="0"/>
    <x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x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x v="0"/>
    <n v="0"/>
    <n v="0"/>
    <n v="0"/>
    <m/>
    <n v="68.5"/>
  </r>
  <r>
    <s v="USR-100676"/>
    <d v="2025-05-24T00:00:00"/>
    <x v="0"/>
    <x v="1"/>
    <x v="1"/>
    <x v="2"/>
    <s v="Free"/>
    <n v="1"/>
    <n v="1"/>
    <n v="1"/>
    <x v="0"/>
    <n v="0"/>
    <n v="0"/>
    <n v="0"/>
    <m/>
    <n v="40.1"/>
  </r>
  <r>
    <s v="USR-100677"/>
    <d v="2025-05-03T00:00:00"/>
    <x v="0"/>
    <x v="1"/>
    <x v="2"/>
    <x v="1"/>
    <s v="Free"/>
    <n v="1"/>
    <n v="0"/>
    <n v="0"/>
    <x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x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x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x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x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x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x v="0"/>
    <n v="0"/>
    <n v="0"/>
    <n v="0"/>
    <m/>
    <n v="42.1"/>
  </r>
  <r>
    <s v="USR-100684"/>
    <d v="2025-02-24T00:00:00"/>
    <x v="0"/>
    <x v="3"/>
    <x v="0"/>
    <x v="3"/>
    <s v="Free"/>
    <n v="0"/>
    <n v="0"/>
    <n v="0"/>
    <x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x v="0"/>
    <n v="0"/>
    <n v="1"/>
    <n v="0"/>
    <m/>
    <n v="68.5"/>
  </r>
  <r>
    <s v="USR-100686"/>
    <d v="2025-02-06T00:00:00"/>
    <x v="0"/>
    <x v="3"/>
    <x v="0"/>
    <x v="1"/>
    <s v="Free"/>
    <n v="1"/>
    <n v="1"/>
    <n v="1"/>
    <x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x v="0"/>
    <n v="0"/>
    <n v="0"/>
    <n v="0"/>
    <m/>
    <n v="63.3"/>
  </r>
  <r>
    <s v="USR-100688"/>
    <d v="2025-04-28T00:00:00"/>
    <x v="0"/>
    <x v="2"/>
    <x v="0"/>
    <x v="2"/>
    <s v="Free"/>
    <n v="0"/>
    <n v="0"/>
    <n v="0"/>
    <x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x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x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x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x v="0"/>
    <n v="0"/>
    <n v="3"/>
    <n v="0"/>
    <m/>
    <n v="55.7"/>
  </r>
  <r>
    <s v="USR-100693"/>
    <d v="2025-03-21T00:00:00"/>
    <x v="1"/>
    <x v="0"/>
    <x v="1"/>
    <x v="1"/>
    <s v="Free"/>
    <n v="1"/>
    <n v="1"/>
    <n v="1"/>
    <x v="0"/>
    <n v="0"/>
    <n v="0"/>
    <n v="0"/>
    <m/>
    <n v="82.8"/>
  </r>
  <r>
    <s v="USR-100694"/>
    <d v="2025-03-27T00:00:00"/>
    <x v="1"/>
    <x v="0"/>
    <x v="0"/>
    <x v="4"/>
    <s v="Free"/>
    <n v="1"/>
    <n v="0"/>
    <n v="0"/>
    <x v="0"/>
    <n v="0"/>
    <n v="0"/>
    <n v="0"/>
    <m/>
    <m/>
  </r>
  <r>
    <s v="USR-100695"/>
    <d v="2025-01-21T00:00:00"/>
    <x v="1"/>
    <x v="3"/>
    <x v="1"/>
    <x v="2"/>
    <s v="Free"/>
    <n v="0"/>
    <n v="0"/>
    <n v="0"/>
    <x v="0"/>
    <n v="0"/>
    <n v="0"/>
    <n v="0"/>
    <m/>
    <n v="34.4"/>
  </r>
  <r>
    <s v="USR-100696"/>
    <d v="2025-03-19T00:00:00"/>
    <x v="1"/>
    <x v="2"/>
    <x v="0"/>
    <x v="0"/>
    <s v="Free"/>
    <n v="1"/>
    <n v="0"/>
    <n v="0"/>
    <x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x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x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x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x v="0"/>
    <n v="0"/>
    <n v="1"/>
    <n v="0"/>
    <m/>
    <n v="60.8"/>
  </r>
  <r>
    <s v="USR-100701"/>
    <d v="2025-05-05T00:00:00"/>
    <x v="1"/>
    <x v="0"/>
    <x v="1"/>
    <x v="1"/>
    <s v="Free"/>
    <n v="1"/>
    <n v="1"/>
    <n v="1"/>
    <x v="1"/>
    <n v="444.13"/>
    <n v="0"/>
    <n v="0"/>
    <n v="10"/>
    <n v="80.7"/>
  </r>
  <r>
    <s v="USR-100702"/>
    <d v="2025-05-04T00:00:00"/>
    <x v="1"/>
    <x v="3"/>
    <x v="1"/>
    <x v="4"/>
    <s v="Free"/>
    <n v="1"/>
    <n v="0"/>
    <n v="0"/>
    <x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x v="0"/>
    <n v="0"/>
    <n v="3"/>
    <n v="0"/>
    <m/>
    <n v="55"/>
  </r>
  <r>
    <s v="USR-100704"/>
    <d v="2025-04-17T00:00:00"/>
    <x v="1"/>
    <x v="1"/>
    <x v="1"/>
    <x v="0"/>
    <s v="Free"/>
    <n v="0"/>
    <n v="0"/>
    <n v="0"/>
    <x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x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x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x v="0"/>
    <n v="0"/>
    <n v="0"/>
    <n v="0"/>
    <m/>
    <m/>
  </r>
  <r>
    <s v="USR-100708"/>
    <d v="2025-05-11T00:00:00"/>
    <x v="1"/>
    <x v="3"/>
    <x v="1"/>
    <x v="0"/>
    <s v="Free"/>
    <n v="0"/>
    <n v="0"/>
    <n v="0"/>
    <x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x v="0"/>
    <n v="0"/>
    <n v="0"/>
    <n v="0"/>
    <m/>
    <n v="49.4"/>
  </r>
  <r>
    <s v="USR-100710"/>
    <d v="2025-03-03T00:00:00"/>
    <x v="1"/>
    <x v="3"/>
    <x v="1"/>
    <x v="4"/>
    <s v="Free"/>
    <n v="1"/>
    <n v="1"/>
    <n v="1"/>
    <x v="0"/>
    <n v="0"/>
    <n v="1"/>
    <n v="0"/>
    <m/>
    <n v="60.1"/>
  </r>
  <r>
    <s v="USR-100711"/>
    <d v="2025-03-18T00:00:00"/>
    <x v="1"/>
    <x v="0"/>
    <x v="1"/>
    <x v="3"/>
    <s v="Free"/>
    <n v="1"/>
    <n v="0"/>
    <n v="0"/>
    <x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x v="0"/>
    <n v="0"/>
    <n v="0"/>
    <n v="0"/>
    <m/>
    <n v="51.5"/>
  </r>
  <r>
    <s v="USR-100713"/>
    <d v="2025-04-16T00:00:00"/>
    <x v="1"/>
    <x v="2"/>
    <x v="1"/>
    <x v="1"/>
    <s v="Free"/>
    <n v="1"/>
    <n v="1"/>
    <n v="1"/>
    <x v="1"/>
    <n v="516.66999999999996"/>
    <n v="0"/>
    <n v="0"/>
    <n v="11"/>
    <n v="57.9"/>
  </r>
  <r>
    <s v="USR-100714"/>
    <d v="2025-04-20T00:00:00"/>
    <x v="1"/>
    <x v="3"/>
    <x v="1"/>
    <x v="3"/>
    <s v="Free"/>
    <n v="1"/>
    <n v="1"/>
    <n v="1"/>
    <x v="1"/>
    <n v="277.18"/>
    <n v="2"/>
    <n v="0"/>
    <n v="8"/>
    <n v="59.2"/>
  </r>
  <r>
    <s v="USR-100715"/>
    <d v="2025-02-15T00:00:00"/>
    <x v="1"/>
    <x v="3"/>
    <x v="1"/>
    <x v="1"/>
    <s v="Free"/>
    <n v="0"/>
    <n v="0"/>
    <n v="0"/>
    <x v="0"/>
    <n v="0"/>
    <n v="0"/>
    <n v="0"/>
    <m/>
    <n v="64.2"/>
  </r>
  <r>
    <s v="USR-100716"/>
    <d v="2025-01-21T00:00:00"/>
    <x v="1"/>
    <x v="3"/>
    <x v="1"/>
    <x v="1"/>
    <s v="Free"/>
    <n v="1"/>
    <n v="0"/>
    <n v="0"/>
    <x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x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x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x v="0"/>
    <n v="0"/>
    <n v="0"/>
    <n v="0"/>
    <m/>
    <n v="63.6"/>
  </r>
  <r>
    <s v="USR-100720"/>
    <d v="2025-01-17T00:00:00"/>
    <x v="1"/>
    <x v="1"/>
    <x v="0"/>
    <x v="0"/>
    <s v="Free"/>
    <n v="0"/>
    <n v="0"/>
    <n v="0"/>
    <x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x v="0"/>
    <n v="0"/>
    <n v="0"/>
    <n v="0"/>
    <m/>
    <n v="82.3"/>
  </r>
  <r>
    <s v="USR-100722"/>
    <d v="2025-05-04T00:00:00"/>
    <x v="1"/>
    <x v="2"/>
    <x v="0"/>
    <x v="2"/>
    <s v="Free"/>
    <n v="1"/>
    <n v="0"/>
    <n v="0"/>
    <x v="0"/>
    <n v="0"/>
    <n v="0"/>
    <n v="0"/>
    <m/>
    <n v="79.3"/>
  </r>
  <r>
    <s v="USR-100723"/>
    <d v="2025-03-13T00:00:00"/>
    <x v="1"/>
    <x v="3"/>
    <x v="1"/>
    <x v="5"/>
    <s v="Free"/>
    <n v="0"/>
    <n v="0"/>
    <n v="0"/>
    <x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x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x v="0"/>
    <n v="0"/>
    <n v="0"/>
    <n v="0"/>
    <m/>
    <n v="72.3"/>
  </r>
  <r>
    <s v="USR-100726"/>
    <d v="2025-02-09T00:00:00"/>
    <x v="1"/>
    <x v="2"/>
    <x v="1"/>
    <x v="4"/>
    <s v="Free"/>
    <n v="1"/>
    <n v="1"/>
    <n v="1"/>
    <x v="0"/>
    <n v="0"/>
    <n v="0"/>
    <n v="0"/>
    <m/>
    <n v="78"/>
  </r>
  <r>
    <s v="USR-100727"/>
    <d v="2025-04-09T00:00:00"/>
    <x v="1"/>
    <x v="2"/>
    <x v="0"/>
    <x v="4"/>
    <s v="Free"/>
    <n v="1"/>
    <n v="1"/>
    <n v="0"/>
    <x v="0"/>
    <n v="0"/>
    <n v="2"/>
    <n v="0"/>
    <m/>
    <n v="59.1"/>
  </r>
  <r>
    <s v="USR-100728"/>
    <d v="2025-01-02T00:00:00"/>
    <x v="1"/>
    <x v="3"/>
    <x v="1"/>
    <x v="2"/>
    <s v="Free"/>
    <n v="1"/>
    <n v="1"/>
    <n v="1"/>
    <x v="1"/>
    <n v="604.09"/>
    <n v="0"/>
    <n v="0"/>
    <n v="7"/>
    <n v="47.1"/>
  </r>
  <r>
    <s v="USR-100729"/>
    <d v="2025-02-04T00:00:00"/>
    <x v="1"/>
    <x v="3"/>
    <x v="1"/>
    <x v="5"/>
    <s v="Premium"/>
    <n v="1"/>
    <n v="0"/>
    <n v="0"/>
    <x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x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x v="0"/>
    <n v="0"/>
    <n v="2"/>
    <n v="0"/>
    <m/>
    <n v="52.9"/>
  </r>
  <r>
    <s v="USR-100732"/>
    <d v="2025-01-29T00:00:00"/>
    <x v="1"/>
    <x v="0"/>
    <x v="1"/>
    <x v="3"/>
    <s v="Free"/>
    <n v="1"/>
    <n v="1"/>
    <n v="1"/>
    <x v="1"/>
    <n v="442.3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x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x v="0"/>
    <n v="0"/>
    <n v="0"/>
    <n v="0"/>
    <m/>
    <n v="83.3"/>
  </r>
  <r>
    <s v="USR-100735"/>
    <d v="2025-03-28T00:00:00"/>
    <x v="1"/>
    <x v="2"/>
    <x v="0"/>
    <x v="0"/>
    <s v="Free"/>
    <n v="1"/>
    <n v="0"/>
    <n v="0"/>
    <x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x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x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x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x v="0"/>
    <n v="0"/>
    <n v="2"/>
    <n v="0"/>
    <m/>
    <n v="37.9"/>
  </r>
  <r>
    <s v="USR-100740"/>
    <d v="2025-02-14T00:00:00"/>
    <x v="1"/>
    <x v="0"/>
    <x v="1"/>
    <x v="3"/>
    <s v="Free"/>
    <n v="0"/>
    <n v="0"/>
    <n v="0"/>
    <x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x v="0"/>
    <n v="0"/>
    <n v="2"/>
    <n v="0"/>
    <m/>
    <n v="53.2"/>
  </r>
  <r>
    <s v="USR-100742"/>
    <d v="2025-01-08T00:00:00"/>
    <x v="1"/>
    <x v="0"/>
    <x v="1"/>
    <x v="3"/>
    <s v="Free"/>
    <n v="0"/>
    <n v="0"/>
    <n v="0"/>
    <x v="0"/>
    <n v="0"/>
    <n v="0"/>
    <n v="0"/>
    <m/>
    <n v="61.9"/>
  </r>
  <r>
    <s v="USR-100743"/>
    <d v="2025-02-07T00:00:00"/>
    <x v="1"/>
    <x v="0"/>
    <x v="1"/>
    <x v="4"/>
    <s v="Free"/>
    <n v="1"/>
    <n v="1"/>
    <n v="1"/>
    <x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x v="0"/>
    <n v="0"/>
    <n v="0"/>
    <n v="0"/>
    <m/>
    <n v="66.3"/>
  </r>
  <r>
    <s v="USR-100745"/>
    <d v="2025-01-04T00:00:00"/>
    <x v="1"/>
    <x v="2"/>
    <x v="1"/>
    <x v="0"/>
    <s v="Free"/>
    <n v="1"/>
    <n v="1"/>
    <n v="1"/>
    <x v="0"/>
    <n v="0"/>
    <n v="0"/>
    <n v="0"/>
    <m/>
    <n v="54.6"/>
  </r>
  <r>
    <s v="USR-100746"/>
    <d v="2025-05-16T00:00:00"/>
    <x v="1"/>
    <x v="3"/>
    <x v="0"/>
    <x v="3"/>
    <s v="Free"/>
    <n v="0"/>
    <n v="0"/>
    <n v="0"/>
    <x v="0"/>
    <n v="0"/>
    <n v="0"/>
    <n v="0"/>
    <m/>
    <n v="53.8"/>
  </r>
  <r>
    <s v="USR-100747"/>
    <d v="2025-02-28T00:00:00"/>
    <x v="1"/>
    <x v="1"/>
    <x v="1"/>
    <x v="3"/>
    <s v="Free"/>
    <n v="1"/>
    <n v="0"/>
    <n v="0"/>
    <x v="0"/>
    <n v="0"/>
    <n v="0"/>
    <n v="0"/>
    <m/>
    <n v="59.5"/>
  </r>
  <r>
    <s v="USR-100748"/>
    <d v="2025-04-12T00:00:00"/>
    <x v="1"/>
    <x v="0"/>
    <x v="1"/>
    <x v="3"/>
    <s v="Free"/>
    <n v="1"/>
    <n v="0"/>
    <n v="0"/>
    <x v="0"/>
    <n v="0"/>
    <n v="0"/>
    <n v="0"/>
    <m/>
    <n v="52.6"/>
  </r>
  <r>
    <s v="USR-100749"/>
    <d v="2025-03-23T00:00:00"/>
    <x v="1"/>
    <x v="3"/>
    <x v="0"/>
    <x v="1"/>
    <s v="Free"/>
    <n v="0"/>
    <n v="0"/>
    <n v="0"/>
    <x v="0"/>
    <n v="0"/>
    <n v="0"/>
    <n v="0"/>
    <m/>
    <n v="49"/>
  </r>
  <r>
    <s v="USR-100750"/>
    <d v="2025-05-29T00:00:00"/>
    <x v="1"/>
    <x v="0"/>
    <x v="2"/>
    <x v="1"/>
    <s v="Free"/>
    <n v="1"/>
    <n v="0"/>
    <n v="0"/>
    <x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x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x v="0"/>
    <n v="0"/>
    <n v="0"/>
    <n v="0"/>
    <m/>
    <n v="73.5"/>
  </r>
  <r>
    <s v="USR-100753"/>
    <d v="2025-03-19T00:00:00"/>
    <x v="1"/>
    <x v="2"/>
    <x v="2"/>
    <x v="1"/>
    <s v="Free"/>
    <n v="1"/>
    <n v="0"/>
    <n v="0"/>
    <x v="0"/>
    <n v="0"/>
    <n v="0"/>
    <n v="0"/>
    <m/>
    <n v="61.2"/>
  </r>
  <r>
    <s v="USR-100754"/>
    <d v="2025-04-24T00:00:00"/>
    <x v="1"/>
    <x v="2"/>
    <x v="1"/>
    <x v="1"/>
    <s v="Free"/>
    <n v="1"/>
    <n v="0"/>
    <n v="0"/>
    <x v="0"/>
    <n v="0"/>
    <n v="1"/>
    <n v="0"/>
    <m/>
    <n v="56.4"/>
  </r>
  <r>
    <s v="USR-100755"/>
    <d v="2025-03-10T00:00:00"/>
    <x v="1"/>
    <x v="0"/>
    <x v="2"/>
    <x v="1"/>
    <s v="Free"/>
    <n v="0"/>
    <n v="0"/>
    <n v="0"/>
    <x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x v="0"/>
    <n v="0"/>
    <n v="0"/>
    <n v="0"/>
    <m/>
    <n v="61.7"/>
  </r>
  <r>
    <s v="USR-100757"/>
    <d v="2025-05-17T00:00:00"/>
    <x v="1"/>
    <x v="2"/>
    <x v="1"/>
    <x v="4"/>
    <s v="Free"/>
    <n v="0"/>
    <n v="0"/>
    <n v="0"/>
    <x v="0"/>
    <n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x v="1"/>
    <n v="1506.24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x v="0"/>
    <n v="0"/>
    <n v="0"/>
    <n v="0"/>
    <m/>
    <n v="57.5"/>
  </r>
  <r>
    <s v="USR-100760"/>
    <d v="2025-03-15T00:00:00"/>
    <x v="1"/>
    <x v="1"/>
    <x v="0"/>
    <x v="4"/>
    <s v="Free"/>
    <n v="1"/>
    <n v="1"/>
    <n v="1"/>
    <x v="0"/>
    <n v="0"/>
    <n v="0"/>
    <n v="0"/>
    <m/>
    <n v="76.3"/>
  </r>
  <r>
    <s v="USR-100761"/>
    <d v="2025-04-03T00:00:00"/>
    <x v="1"/>
    <x v="0"/>
    <x v="1"/>
    <x v="2"/>
    <s v="Free"/>
    <n v="0"/>
    <n v="0"/>
    <n v="0"/>
    <x v="0"/>
    <n v="0"/>
    <n v="0"/>
    <n v="0"/>
    <m/>
    <n v="47.5"/>
  </r>
  <r>
    <s v="USR-100762"/>
    <d v="2025-03-26T00:00:00"/>
    <x v="1"/>
    <x v="3"/>
    <x v="1"/>
    <x v="2"/>
    <s v="Free"/>
    <n v="0"/>
    <n v="0"/>
    <n v="0"/>
    <x v="0"/>
    <n v="0"/>
    <n v="0"/>
    <n v="0"/>
    <m/>
    <m/>
  </r>
  <r>
    <s v="USR-100763"/>
    <d v="2025-02-05T00:00:00"/>
    <x v="1"/>
    <x v="1"/>
    <x v="0"/>
    <x v="1"/>
    <s v="Basic"/>
    <n v="1"/>
    <n v="1"/>
    <n v="0"/>
    <x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x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x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x v="0"/>
    <n v="0"/>
    <n v="1"/>
    <n v="0"/>
    <m/>
    <n v="59.3"/>
  </r>
  <r>
    <s v="USR-100767"/>
    <d v="2025-03-26T00:00:00"/>
    <x v="1"/>
    <x v="0"/>
    <x v="1"/>
    <x v="1"/>
    <s v="Free"/>
    <n v="1"/>
    <n v="1"/>
    <n v="0"/>
    <x v="0"/>
    <n v="0"/>
    <n v="2"/>
    <n v="0"/>
    <m/>
    <n v="49.3"/>
  </r>
  <r>
    <s v="USR-100768"/>
    <d v="2025-01-16T00:00:00"/>
    <x v="1"/>
    <x v="2"/>
    <x v="1"/>
    <x v="3"/>
    <s v="Free"/>
    <n v="1"/>
    <n v="0"/>
    <n v="0"/>
    <x v="0"/>
    <n v="0"/>
    <n v="0"/>
    <n v="0"/>
    <m/>
    <n v="75"/>
  </r>
  <r>
    <s v="USR-100769"/>
    <d v="2025-01-04T00:00:00"/>
    <x v="1"/>
    <x v="2"/>
    <x v="1"/>
    <x v="4"/>
    <s v="Free"/>
    <n v="1"/>
    <n v="0"/>
    <n v="0"/>
    <x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x v="0"/>
    <n v="0"/>
    <n v="0"/>
    <n v="0"/>
    <m/>
    <n v="56.6"/>
  </r>
  <r>
    <s v="USR-100771"/>
    <d v="2025-03-05T00:00:00"/>
    <x v="1"/>
    <x v="2"/>
    <x v="0"/>
    <x v="1"/>
    <s v="Free"/>
    <n v="1"/>
    <n v="0"/>
    <n v="0"/>
    <x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x v="0"/>
    <n v="0"/>
    <n v="0"/>
    <n v="0"/>
    <m/>
    <n v="47.6"/>
  </r>
  <r>
    <s v="USR-100773"/>
    <d v="2025-02-27T00:00:00"/>
    <x v="1"/>
    <x v="2"/>
    <x v="0"/>
    <x v="2"/>
    <s v="Free"/>
    <n v="1"/>
    <n v="0"/>
    <n v="0"/>
    <x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x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x v="0"/>
    <n v="0"/>
    <n v="2"/>
    <n v="0"/>
    <m/>
    <n v="60.5"/>
  </r>
  <r>
    <s v="USR-100776"/>
    <d v="2025-04-12T00:00:00"/>
    <x v="1"/>
    <x v="0"/>
    <x v="0"/>
    <x v="2"/>
    <s v="Free"/>
    <n v="1"/>
    <n v="0"/>
    <n v="0"/>
    <x v="0"/>
    <n v="0"/>
    <n v="0"/>
    <n v="0"/>
    <m/>
    <n v="46.7"/>
  </r>
  <r>
    <s v="USR-100777"/>
    <d v="2025-01-26T00:00:00"/>
    <x v="1"/>
    <x v="2"/>
    <x v="0"/>
    <x v="3"/>
    <s v="Free"/>
    <n v="0"/>
    <n v="0"/>
    <n v="0"/>
    <x v="0"/>
    <n v="0"/>
    <n v="0"/>
    <n v="0"/>
    <m/>
    <n v="61"/>
  </r>
  <r>
    <s v="USR-100778"/>
    <d v="2025-05-24T00:00:00"/>
    <x v="1"/>
    <x v="1"/>
    <x v="2"/>
    <x v="2"/>
    <s v="Free"/>
    <n v="0"/>
    <n v="0"/>
    <n v="0"/>
    <x v="0"/>
    <n v="0"/>
    <n v="0"/>
    <n v="0"/>
    <m/>
    <n v="60.9"/>
  </r>
  <r>
    <s v="USR-100779"/>
    <d v="2025-01-08T00:00:00"/>
    <x v="1"/>
    <x v="3"/>
    <x v="1"/>
    <x v="1"/>
    <s v="Free"/>
    <n v="1"/>
    <n v="0"/>
    <n v="0"/>
    <x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x v="0"/>
    <n v="0"/>
    <n v="0"/>
    <n v="0"/>
    <m/>
    <n v="59.6"/>
  </r>
  <r>
    <s v="USR-100781"/>
    <d v="2025-01-15T00:00:00"/>
    <x v="1"/>
    <x v="3"/>
    <x v="0"/>
    <x v="2"/>
    <s v="Free"/>
    <n v="1"/>
    <n v="0"/>
    <n v="0"/>
    <x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x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x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x v="0"/>
    <n v="0"/>
    <n v="0"/>
    <n v="0"/>
    <m/>
    <n v="58"/>
  </r>
  <r>
    <s v="USR-100785"/>
    <d v="2025-02-19T00:00:00"/>
    <x v="1"/>
    <x v="0"/>
    <x v="1"/>
    <x v="0"/>
    <s v="Basic"/>
    <n v="1"/>
    <n v="1"/>
    <n v="0"/>
    <x v="0"/>
    <n v="0"/>
    <n v="0"/>
    <n v="0"/>
    <m/>
    <n v="80.3"/>
  </r>
  <r>
    <s v="USR-100786"/>
    <d v="2025-03-14T00:00:00"/>
    <x v="1"/>
    <x v="0"/>
    <x v="0"/>
    <x v="1"/>
    <s v="Free"/>
    <n v="1"/>
    <n v="0"/>
    <n v="0"/>
    <x v="0"/>
    <n v="0"/>
    <n v="0"/>
    <n v="0"/>
    <m/>
    <n v="55.7"/>
  </r>
  <r>
    <s v="USR-100787"/>
    <d v="2025-04-21T00:00:00"/>
    <x v="1"/>
    <x v="0"/>
    <x v="1"/>
    <x v="1"/>
    <s v="Free"/>
    <n v="1"/>
    <n v="1"/>
    <n v="0"/>
    <x v="0"/>
    <n v="0"/>
    <n v="0"/>
    <n v="0"/>
    <m/>
    <n v="84.9"/>
  </r>
  <r>
    <s v="USR-100788"/>
    <d v="2025-02-14T00:00:00"/>
    <x v="1"/>
    <x v="0"/>
    <x v="1"/>
    <x v="1"/>
    <s v="Free"/>
    <n v="1"/>
    <n v="0"/>
    <n v="0"/>
    <x v="0"/>
    <n v="0"/>
    <n v="0"/>
    <n v="0"/>
    <m/>
    <n v="63.3"/>
  </r>
  <r>
    <s v="USR-100789"/>
    <d v="2025-05-30T00:00:00"/>
    <x v="1"/>
    <x v="1"/>
    <x v="1"/>
    <x v="1"/>
    <s v="Free"/>
    <n v="0"/>
    <n v="0"/>
    <n v="0"/>
    <x v="0"/>
    <n v="0"/>
    <n v="0"/>
    <n v="0"/>
    <m/>
    <n v="53.1"/>
  </r>
  <r>
    <s v="USR-100790"/>
    <d v="2025-01-20T00:00:00"/>
    <x v="1"/>
    <x v="1"/>
    <x v="1"/>
    <x v="1"/>
    <s v="Free"/>
    <n v="0"/>
    <n v="0"/>
    <n v="0"/>
    <x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x v="0"/>
    <n v="0"/>
    <n v="0"/>
    <n v="0"/>
    <m/>
    <n v="54.7"/>
  </r>
  <r>
    <s v="USR-100792"/>
    <d v="2025-03-04T00:00:00"/>
    <x v="1"/>
    <x v="1"/>
    <x v="1"/>
    <x v="4"/>
    <s v="Free"/>
    <n v="1"/>
    <n v="1"/>
    <n v="0"/>
    <x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x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x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x v="0"/>
    <n v="0"/>
    <n v="3"/>
    <n v="0"/>
    <m/>
    <n v="67"/>
  </r>
  <r>
    <s v="USR-100796"/>
    <d v="2025-05-31T00:00:00"/>
    <x v="1"/>
    <x v="3"/>
    <x v="1"/>
    <x v="1"/>
    <s v="Basic"/>
    <n v="1"/>
    <n v="0"/>
    <n v="0"/>
    <x v="0"/>
    <n v="0"/>
    <n v="0"/>
    <n v="0"/>
    <m/>
    <n v="50.4"/>
  </r>
  <r>
    <s v="USR-100797"/>
    <d v="2025-03-07T00:00:00"/>
    <x v="1"/>
    <x v="1"/>
    <x v="0"/>
    <x v="4"/>
    <s v="Free"/>
    <n v="1"/>
    <n v="0"/>
    <n v="0"/>
    <x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x v="0"/>
    <n v="0"/>
    <n v="1"/>
    <n v="0"/>
    <m/>
    <n v="82.7"/>
  </r>
  <r>
    <s v="USR-100799"/>
    <d v="2025-01-05T00:00:00"/>
    <x v="1"/>
    <x v="1"/>
    <x v="0"/>
    <x v="2"/>
    <s v="Free"/>
    <n v="1"/>
    <n v="1"/>
    <n v="1"/>
    <x v="0"/>
    <n v="0"/>
    <n v="0"/>
    <n v="0"/>
    <m/>
    <n v="63.9"/>
  </r>
  <r>
    <s v="USR-100800"/>
    <d v="2025-01-21T00:00:00"/>
    <x v="1"/>
    <x v="1"/>
    <x v="1"/>
    <x v="3"/>
    <s v="Free"/>
    <n v="1"/>
    <n v="0"/>
    <n v="0"/>
    <x v="0"/>
    <n v="0"/>
    <n v="0"/>
    <n v="0"/>
    <m/>
    <n v="61.9"/>
  </r>
  <r>
    <s v="USR-100801"/>
    <d v="2025-01-25T00:00:00"/>
    <x v="1"/>
    <x v="0"/>
    <x v="0"/>
    <x v="4"/>
    <s v="Free"/>
    <n v="1"/>
    <n v="1"/>
    <n v="1"/>
    <x v="0"/>
    <n v="0"/>
    <n v="0"/>
    <n v="0"/>
    <m/>
    <n v="75"/>
  </r>
  <r>
    <s v="USR-100802"/>
    <d v="2025-04-04T00:00:00"/>
    <x v="1"/>
    <x v="1"/>
    <x v="1"/>
    <x v="2"/>
    <s v="Basic"/>
    <n v="1"/>
    <n v="1"/>
    <n v="1"/>
    <x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x v="0"/>
    <n v="0"/>
    <n v="0"/>
    <n v="0"/>
    <m/>
    <n v="54.3"/>
  </r>
  <r>
    <s v="USR-100804"/>
    <d v="2025-03-19T00:00:00"/>
    <x v="1"/>
    <x v="1"/>
    <x v="1"/>
    <x v="4"/>
    <s v="Free"/>
    <n v="0"/>
    <n v="0"/>
    <n v="0"/>
    <x v="0"/>
    <n v="0"/>
    <n v="2"/>
    <n v="0"/>
    <m/>
    <n v="44.3"/>
  </r>
  <r>
    <s v="USR-100805"/>
    <d v="2025-04-24T00:00:00"/>
    <x v="1"/>
    <x v="1"/>
    <x v="0"/>
    <x v="1"/>
    <s v="Free"/>
    <n v="1"/>
    <n v="1"/>
    <n v="1"/>
    <x v="1"/>
    <n v="402.88"/>
    <n v="0"/>
    <n v="0"/>
    <n v="12"/>
    <n v="76"/>
  </r>
  <r>
    <s v="USR-100806"/>
    <d v="2025-04-04T00:00:00"/>
    <x v="1"/>
    <x v="3"/>
    <x v="2"/>
    <x v="1"/>
    <s v="Free"/>
    <n v="1"/>
    <n v="0"/>
    <n v="0"/>
    <x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x v="0"/>
    <n v="0"/>
    <n v="0"/>
    <n v="0"/>
    <m/>
    <n v="71.2"/>
  </r>
  <r>
    <s v="USR-100808"/>
    <d v="2025-05-15T00:00:00"/>
    <x v="1"/>
    <x v="3"/>
    <x v="2"/>
    <x v="2"/>
    <s v="Free"/>
    <n v="1"/>
    <n v="0"/>
    <n v="0"/>
    <x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x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x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x v="0"/>
    <n v="0"/>
    <n v="1"/>
    <n v="0"/>
    <m/>
    <n v="58.7"/>
  </r>
  <r>
    <s v="USR-100812"/>
    <d v="2025-05-06T00:00:00"/>
    <x v="1"/>
    <x v="3"/>
    <x v="0"/>
    <x v="2"/>
    <s v="Free"/>
    <n v="1"/>
    <n v="0"/>
    <n v="0"/>
    <x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x v="0"/>
    <n v="0"/>
    <n v="0"/>
    <n v="0"/>
    <m/>
    <n v="51.5"/>
  </r>
  <r>
    <s v="USR-100814"/>
    <d v="2025-04-05T00:00:00"/>
    <x v="1"/>
    <x v="2"/>
    <x v="1"/>
    <x v="2"/>
    <s v="Free"/>
    <n v="1"/>
    <n v="1"/>
    <n v="1"/>
    <x v="1"/>
    <n v="277.69"/>
    <n v="3"/>
    <n v="0"/>
    <n v="8"/>
    <n v="46"/>
  </r>
  <r>
    <s v="USR-100815"/>
    <d v="2025-04-13T00:00:00"/>
    <x v="1"/>
    <x v="1"/>
    <x v="2"/>
    <x v="1"/>
    <s v="Free"/>
    <n v="1"/>
    <n v="0"/>
    <n v="0"/>
    <x v="0"/>
    <n v="0"/>
    <n v="0"/>
    <n v="0"/>
    <m/>
    <n v="81.7"/>
  </r>
  <r>
    <s v="USR-100816"/>
    <d v="2025-05-20T00:00:00"/>
    <x v="1"/>
    <x v="2"/>
    <x v="0"/>
    <x v="3"/>
    <s v="Free"/>
    <n v="1"/>
    <n v="0"/>
    <n v="0"/>
    <x v="0"/>
    <n v="0"/>
    <n v="0"/>
    <n v="0"/>
    <m/>
    <n v="48.3"/>
  </r>
  <r>
    <s v="USR-100817"/>
    <d v="2025-03-31T00:00:00"/>
    <x v="1"/>
    <x v="2"/>
    <x v="1"/>
    <x v="0"/>
    <s v="Free"/>
    <n v="1"/>
    <n v="1"/>
    <n v="0"/>
    <x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x v="0"/>
    <n v="0"/>
    <n v="0"/>
    <n v="0"/>
    <m/>
    <n v="53.8"/>
  </r>
  <r>
    <s v="USR-100819"/>
    <d v="2025-02-04T00:00:00"/>
    <x v="1"/>
    <x v="3"/>
    <x v="1"/>
    <x v="1"/>
    <s v="Free"/>
    <n v="1"/>
    <n v="1"/>
    <n v="1"/>
    <x v="1"/>
    <n v="460.83"/>
    <n v="2"/>
    <n v="0"/>
    <n v="0"/>
    <n v="69.7"/>
  </r>
  <r>
    <s v="USR-100820"/>
    <d v="2025-05-19T00:00:00"/>
    <x v="1"/>
    <x v="2"/>
    <x v="1"/>
    <x v="1"/>
    <s v="Free"/>
    <n v="1"/>
    <n v="0"/>
    <n v="0"/>
    <x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x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x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x v="0"/>
    <n v="0"/>
    <n v="2"/>
    <n v="0"/>
    <m/>
    <n v="73"/>
  </r>
  <r>
    <s v="USR-100824"/>
    <d v="2025-01-17T00:00:00"/>
    <x v="1"/>
    <x v="1"/>
    <x v="1"/>
    <x v="1"/>
    <s v="Basic"/>
    <n v="0"/>
    <n v="0"/>
    <n v="0"/>
    <x v="0"/>
    <n v="0"/>
    <n v="0"/>
    <n v="0"/>
    <m/>
    <n v="79.5"/>
  </r>
  <r>
    <s v="USR-100825"/>
    <d v="2025-05-21T00:00:00"/>
    <x v="1"/>
    <x v="1"/>
    <x v="1"/>
    <x v="3"/>
    <s v="Basic"/>
    <n v="1"/>
    <n v="1"/>
    <n v="1"/>
    <x v="1"/>
    <n v="782.23"/>
    <n v="1"/>
    <n v="0"/>
    <n v="6"/>
    <n v="93.2"/>
  </r>
  <r>
    <s v="USR-100826"/>
    <d v="2025-05-25T00:00:00"/>
    <x v="1"/>
    <x v="2"/>
    <x v="0"/>
    <x v="3"/>
    <s v="Free"/>
    <n v="1"/>
    <n v="0"/>
    <n v="0"/>
    <x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x v="0"/>
    <n v="0"/>
    <n v="0"/>
    <n v="0"/>
    <m/>
    <n v="61"/>
  </r>
  <r>
    <s v="USR-100828"/>
    <d v="2025-02-24T00:00:00"/>
    <x v="1"/>
    <x v="3"/>
    <x v="0"/>
    <x v="1"/>
    <s v="Free"/>
    <n v="1"/>
    <n v="1"/>
    <n v="0"/>
    <x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x v="0"/>
    <n v="0"/>
    <n v="0"/>
    <n v="0"/>
    <m/>
    <n v="87.5"/>
  </r>
  <r>
    <s v="USR-100830"/>
    <d v="2025-04-24T00:00:00"/>
    <x v="1"/>
    <x v="0"/>
    <x v="1"/>
    <x v="1"/>
    <s v="Basic"/>
    <n v="1"/>
    <n v="1"/>
    <n v="1"/>
    <x v="1"/>
    <n v="1171.99"/>
    <n v="0"/>
    <n v="0"/>
    <n v="5"/>
    <n v="80.599999999999994"/>
  </r>
  <r>
    <s v="USR-100831"/>
    <d v="2025-01-07T00:00:00"/>
    <x v="1"/>
    <x v="1"/>
    <x v="0"/>
    <x v="1"/>
    <s v="Free"/>
    <n v="1"/>
    <n v="0"/>
    <n v="0"/>
    <x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x v="0"/>
    <n v="0"/>
    <n v="0"/>
    <n v="0"/>
    <m/>
    <n v="58.8"/>
  </r>
  <r>
    <s v="USR-100833"/>
    <d v="2025-04-02T00:00:00"/>
    <x v="1"/>
    <x v="0"/>
    <x v="0"/>
    <x v="1"/>
    <s v="Basic"/>
    <n v="1"/>
    <n v="1"/>
    <n v="1"/>
    <x v="1"/>
    <n v="1010.4"/>
    <n v="0"/>
    <n v="0"/>
    <n v="4"/>
    <n v="42.9"/>
  </r>
  <r>
    <s v="USR-100834"/>
    <d v="2025-04-21T00:00:00"/>
    <x v="1"/>
    <x v="2"/>
    <x v="1"/>
    <x v="1"/>
    <s v="Free"/>
    <n v="1"/>
    <n v="1"/>
    <n v="1"/>
    <x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x v="0"/>
    <n v="0"/>
    <n v="0"/>
    <n v="0"/>
    <m/>
    <n v="42.7"/>
  </r>
  <r>
    <s v="USR-100836"/>
    <d v="2025-01-06T00:00:00"/>
    <x v="1"/>
    <x v="0"/>
    <x v="0"/>
    <x v="4"/>
    <s v="Free"/>
    <n v="1"/>
    <n v="1"/>
    <n v="1"/>
    <x v="1"/>
    <n v="431.27"/>
    <n v="0"/>
    <n v="0"/>
    <n v="7"/>
    <n v="60.8"/>
  </r>
  <r>
    <s v="USR-100837"/>
    <d v="2025-04-24T00:00:00"/>
    <x v="1"/>
    <x v="3"/>
    <x v="1"/>
    <x v="3"/>
    <s v="Free"/>
    <n v="1"/>
    <n v="1"/>
    <n v="1"/>
    <x v="1"/>
    <n v="428.8"/>
    <n v="0"/>
    <n v="0"/>
    <n v="9"/>
    <n v="79.3"/>
  </r>
  <r>
    <s v="USR-100838"/>
    <d v="2025-04-21T00:00:00"/>
    <x v="1"/>
    <x v="3"/>
    <x v="1"/>
    <x v="1"/>
    <s v="Basic"/>
    <n v="1"/>
    <n v="0"/>
    <n v="0"/>
    <x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x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x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x v="0"/>
    <n v="0"/>
    <n v="0"/>
    <n v="0"/>
    <m/>
    <n v="67.2"/>
  </r>
  <r>
    <s v="USR-100842"/>
    <d v="2025-02-21T00:00:00"/>
    <x v="1"/>
    <x v="3"/>
    <x v="1"/>
    <x v="1"/>
    <s v="Free"/>
    <n v="1"/>
    <n v="1"/>
    <n v="1"/>
    <x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x v="0"/>
    <n v="0"/>
    <n v="0"/>
    <n v="0"/>
    <m/>
    <m/>
  </r>
  <r>
    <s v="USR-100844"/>
    <d v="2025-01-22T00:00:00"/>
    <x v="1"/>
    <x v="3"/>
    <x v="1"/>
    <x v="2"/>
    <s v="Premium"/>
    <n v="0"/>
    <n v="0"/>
    <n v="0"/>
    <x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x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x v="0"/>
    <n v="0"/>
    <n v="0"/>
    <n v="0"/>
    <m/>
    <n v="75"/>
  </r>
  <r>
    <s v="USR-100847"/>
    <d v="2025-01-02T00:00:00"/>
    <x v="1"/>
    <x v="2"/>
    <x v="0"/>
    <x v="1"/>
    <s v="Free"/>
    <n v="1"/>
    <n v="1"/>
    <n v="0"/>
    <x v="0"/>
    <n v="0"/>
    <n v="0"/>
    <n v="0"/>
    <m/>
    <n v="51.9"/>
  </r>
  <r>
    <s v="USR-100848"/>
    <d v="2025-05-12T00:00:00"/>
    <x v="1"/>
    <x v="3"/>
    <x v="0"/>
    <x v="2"/>
    <s v="Free"/>
    <n v="0"/>
    <n v="0"/>
    <n v="0"/>
    <x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x v="0"/>
    <n v="0"/>
    <n v="0"/>
    <n v="0"/>
    <m/>
    <n v="54.5"/>
  </r>
  <r>
    <s v="USR-100850"/>
    <d v="2025-01-24T00:00:00"/>
    <x v="1"/>
    <x v="2"/>
    <x v="1"/>
    <x v="1"/>
    <s v="Free"/>
    <n v="0"/>
    <n v="0"/>
    <n v="0"/>
    <x v="0"/>
    <n v="0"/>
    <n v="0"/>
    <n v="0"/>
    <m/>
    <n v="46"/>
  </r>
  <r>
    <s v="USR-100851"/>
    <d v="2025-01-31T00:00:00"/>
    <x v="1"/>
    <x v="2"/>
    <x v="0"/>
    <x v="0"/>
    <s v="Free"/>
    <n v="1"/>
    <n v="1"/>
    <n v="1"/>
    <x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x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x v="0"/>
    <n v="0"/>
    <n v="0"/>
    <n v="0"/>
    <m/>
    <n v="74.2"/>
  </r>
  <r>
    <s v="USR-100854"/>
    <d v="2025-05-27T00:00:00"/>
    <x v="1"/>
    <x v="0"/>
    <x v="1"/>
    <x v="1"/>
    <s v="Free"/>
    <n v="1"/>
    <n v="1"/>
    <n v="1"/>
    <x v="0"/>
    <n v="0"/>
    <n v="0"/>
    <n v="0"/>
    <m/>
    <n v="72.099999999999994"/>
  </r>
  <r>
    <s v="USR-100855"/>
    <d v="2025-02-28T00:00:00"/>
    <x v="1"/>
    <x v="0"/>
    <x v="1"/>
    <x v="2"/>
    <s v="Free"/>
    <n v="1"/>
    <n v="1"/>
    <n v="1"/>
    <x v="1"/>
    <n v="398.33"/>
    <n v="0"/>
    <n v="0"/>
    <n v="5"/>
    <n v="85.1"/>
  </r>
  <r>
    <s v="USR-100856"/>
    <d v="2025-05-27T00:00:00"/>
    <x v="1"/>
    <x v="0"/>
    <x v="1"/>
    <x v="1"/>
    <s v="Basic"/>
    <n v="1"/>
    <n v="1"/>
    <n v="1"/>
    <x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x v="0"/>
    <n v="0"/>
    <n v="1"/>
    <n v="0"/>
    <m/>
    <n v="79"/>
  </r>
  <r>
    <s v="USR-100858"/>
    <d v="2025-01-10T00:00:00"/>
    <x v="1"/>
    <x v="1"/>
    <x v="0"/>
    <x v="4"/>
    <s v="Free"/>
    <n v="0"/>
    <n v="0"/>
    <n v="0"/>
    <x v="0"/>
    <n v="0"/>
    <n v="0"/>
    <n v="0"/>
    <m/>
    <n v="71.8"/>
  </r>
  <r>
    <s v="USR-100859"/>
    <d v="2025-04-22T00:00:00"/>
    <x v="1"/>
    <x v="0"/>
    <x v="1"/>
    <x v="0"/>
    <s v="Basic"/>
    <n v="1"/>
    <n v="1"/>
    <n v="1"/>
    <x v="1"/>
    <n v="1117.54"/>
    <n v="0"/>
    <n v="0"/>
    <n v="6"/>
    <n v="60.4"/>
  </r>
  <r>
    <s v="USR-100860"/>
    <d v="2025-03-02T00:00:00"/>
    <x v="1"/>
    <x v="3"/>
    <x v="0"/>
    <x v="1"/>
    <s v="Basic"/>
    <n v="1"/>
    <n v="0"/>
    <n v="0"/>
    <x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x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x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x v="0"/>
    <n v="0"/>
    <n v="0"/>
    <n v="0"/>
    <m/>
    <n v="54.6"/>
  </r>
  <r>
    <s v="USR-100864"/>
    <d v="2025-03-28T00:00:00"/>
    <x v="1"/>
    <x v="0"/>
    <x v="0"/>
    <x v="4"/>
    <s v="Free"/>
    <n v="1"/>
    <n v="0"/>
    <n v="0"/>
    <x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x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x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x v="0"/>
    <n v="0"/>
    <n v="0"/>
    <n v="0"/>
    <m/>
    <n v="63"/>
  </r>
  <r>
    <s v="USR-100868"/>
    <d v="2025-04-21T00:00:00"/>
    <x v="1"/>
    <x v="0"/>
    <x v="1"/>
    <x v="4"/>
    <s v="Free"/>
    <n v="0"/>
    <n v="0"/>
    <n v="0"/>
    <x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x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x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x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x v="0"/>
    <n v="0"/>
    <n v="1"/>
    <n v="0"/>
    <m/>
    <n v="56.5"/>
  </r>
  <r>
    <s v="USR-100873"/>
    <d v="2025-04-22T00:00:00"/>
    <x v="1"/>
    <x v="1"/>
    <x v="3"/>
    <x v="4"/>
    <s v="Free"/>
    <n v="1"/>
    <n v="0"/>
    <n v="0"/>
    <x v="0"/>
    <n v="0"/>
    <n v="0"/>
    <n v="0"/>
    <m/>
    <n v="67.8"/>
  </r>
  <r>
    <s v="USR-100874"/>
    <d v="2025-05-04T00:00:00"/>
    <x v="1"/>
    <x v="1"/>
    <x v="0"/>
    <x v="4"/>
    <s v="Free"/>
    <n v="1"/>
    <n v="0"/>
    <n v="0"/>
    <x v="0"/>
    <n v="0"/>
    <n v="0"/>
    <n v="0"/>
    <m/>
    <n v="80"/>
  </r>
  <r>
    <s v="USR-100875"/>
    <d v="2025-05-16T00:00:00"/>
    <x v="1"/>
    <x v="3"/>
    <x v="1"/>
    <x v="4"/>
    <s v="Basic"/>
    <n v="1"/>
    <n v="1"/>
    <n v="1"/>
    <x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x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x v="0"/>
    <n v="0"/>
    <n v="0"/>
    <n v="0"/>
    <m/>
    <n v="73.5"/>
  </r>
  <r>
    <s v="USR-100878"/>
    <d v="2025-02-09T00:00:00"/>
    <x v="1"/>
    <x v="3"/>
    <x v="0"/>
    <x v="2"/>
    <s v="Free"/>
    <n v="1"/>
    <n v="1"/>
    <n v="0"/>
    <x v="0"/>
    <n v="0"/>
    <n v="0"/>
    <n v="0"/>
    <m/>
    <n v="70"/>
  </r>
  <r>
    <s v="USR-100879"/>
    <d v="2025-05-22T00:00:00"/>
    <x v="1"/>
    <x v="1"/>
    <x v="1"/>
    <x v="4"/>
    <s v="Basic"/>
    <n v="0"/>
    <n v="0"/>
    <n v="0"/>
    <x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x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x v="0"/>
    <n v="0"/>
    <n v="0"/>
    <n v="0"/>
    <m/>
    <n v="58.3"/>
  </r>
  <r>
    <s v="USR-100882"/>
    <d v="2025-03-19T00:00:00"/>
    <x v="1"/>
    <x v="2"/>
    <x v="1"/>
    <x v="2"/>
    <s v="Free"/>
    <n v="1"/>
    <n v="0"/>
    <n v="0"/>
    <x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x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x v="0"/>
    <n v="0"/>
    <n v="4"/>
    <n v="0"/>
    <m/>
    <n v="53.7"/>
  </r>
  <r>
    <s v="USR-100885"/>
    <d v="2025-03-29T00:00:00"/>
    <x v="1"/>
    <x v="2"/>
    <x v="1"/>
    <x v="4"/>
    <s v="Free"/>
    <n v="1"/>
    <n v="1"/>
    <n v="1"/>
    <x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x v="0"/>
    <n v="0"/>
    <n v="0"/>
    <n v="0"/>
    <m/>
    <n v="52.9"/>
  </r>
  <r>
    <s v="USR-100887"/>
    <d v="2025-05-30T00:00:00"/>
    <x v="1"/>
    <x v="3"/>
    <x v="1"/>
    <x v="0"/>
    <s v="Free"/>
    <n v="1"/>
    <n v="0"/>
    <n v="0"/>
    <x v="0"/>
    <n v="0"/>
    <n v="0"/>
    <n v="0"/>
    <m/>
    <n v="42.4"/>
  </r>
  <r>
    <s v="USR-100888"/>
    <d v="2025-04-06T00:00:00"/>
    <x v="1"/>
    <x v="2"/>
    <x v="0"/>
    <x v="0"/>
    <s v="Free"/>
    <n v="1"/>
    <n v="0"/>
    <n v="0"/>
    <x v="0"/>
    <n v="0"/>
    <n v="0"/>
    <n v="0"/>
    <m/>
    <n v="58.7"/>
  </r>
  <r>
    <s v="USR-100889"/>
    <d v="2025-03-14T00:00:00"/>
    <x v="1"/>
    <x v="0"/>
    <x v="1"/>
    <x v="3"/>
    <s v="Free"/>
    <n v="1"/>
    <n v="1"/>
    <n v="1"/>
    <x v="1"/>
    <n v="2064.5500000000002"/>
    <n v="0"/>
    <n v="0"/>
    <n v="1"/>
    <n v="67.8"/>
  </r>
  <r>
    <s v="USR-100890"/>
    <d v="2025-02-24T00:00:00"/>
    <x v="1"/>
    <x v="3"/>
    <x v="0"/>
    <x v="2"/>
    <s v="Basic"/>
    <n v="1"/>
    <n v="0"/>
    <n v="0"/>
    <x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x v="0"/>
    <n v="0"/>
    <n v="0"/>
    <n v="0"/>
    <m/>
    <n v="82.4"/>
  </r>
  <r>
    <s v="USR-100892"/>
    <d v="2025-04-02T00:00:00"/>
    <x v="1"/>
    <x v="0"/>
    <x v="1"/>
    <x v="1"/>
    <s v="Free"/>
    <n v="1"/>
    <n v="1"/>
    <n v="1"/>
    <x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x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x v="0"/>
    <n v="0"/>
    <n v="0"/>
    <n v="0"/>
    <m/>
    <n v="58.8"/>
  </r>
  <r>
    <s v="USR-100895"/>
    <d v="2025-05-06T00:00:00"/>
    <x v="1"/>
    <x v="1"/>
    <x v="1"/>
    <x v="3"/>
    <s v="Free"/>
    <n v="1"/>
    <n v="1"/>
    <n v="0"/>
    <x v="0"/>
    <n v="0"/>
    <n v="2"/>
    <n v="0"/>
    <m/>
    <n v="28.3"/>
  </r>
  <r>
    <s v="USR-100896"/>
    <d v="2025-02-11T00:00:00"/>
    <x v="1"/>
    <x v="1"/>
    <x v="0"/>
    <x v="2"/>
    <s v="Free"/>
    <n v="1"/>
    <n v="1"/>
    <n v="0"/>
    <x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x v="0"/>
    <n v="0"/>
    <n v="0"/>
    <n v="0"/>
    <m/>
    <n v="66.7"/>
  </r>
  <r>
    <s v="USR-100898"/>
    <d v="2025-02-02T00:00:00"/>
    <x v="1"/>
    <x v="3"/>
    <x v="1"/>
    <x v="5"/>
    <s v="Free"/>
    <n v="1"/>
    <n v="0"/>
    <n v="0"/>
    <x v="0"/>
    <n v="0"/>
    <n v="0"/>
    <n v="0"/>
    <m/>
    <n v="100"/>
  </r>
  <r>
    <s v="USR-100899"/>
    <d v="2025-04-03T00:00:00"/>
    <x v="1"/>
    <x v="3"/>
    <x v="1"/>
    <x v="4"/>
    <s v="Free"/>
    <n v="1"/>
    <n v="1"/>
    <n v="0"/>
    <x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x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x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x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x v="0"/>
    <n v="0"/>
    <n v="2"/>
    <n v="0"/>
    <m/>
    <n v="54.4"/>
  </r>
  <r>
    <s v="USR-100904"/>
    <d v="2025-02-13T00:00:00"/>
    <x v="1"/>
    <x v="0"/>
    <x v="0"/>
    <x v="1"/>
    <s v="Free"/>
    <n v="1"/>
    <n v="1"/>
    <n v="1"/>
    <x v="0"/>
    <n v="0"/>
    <n v="0"/>
    <n v="0"/>
    <m/>
    <n v="56.8"/>
  </r>
  <r>
    <s v="USR-100905"/>
    <d v="2025-01-23T00:00:00"/>
    <x v="1"/>
    <x v="3"/>
    <x v="1"/>
    <x v="2"/>
    <s v="Free"/>
    <n v="1"/>
    <n v="1"/>
    <n v="1"/>
    <x v="1"/>
    <n v="341.38"/>
    <n v="0"/>
    <n v="0"/>
    <n v="2"/>
    <n v="63.6"/>
  </r>
  <r>
    <s v="USR-100906"/>
    <d v="2025-02-24T00:00:00"/>
    <x v="1"/>
    <x v="2"/>
    <x v="1"/>
    <x v="4"/>
    <s v="Free"/>
    <n v="1"/>
    <n v="0"/>
    <n v="0"/>
    <x v="0"/>
    <n v="0"/>
    <n v="0"/>
    <n v="0"/>
    <m/>
    <n v="58.2"/>
  </r>
  <r>
    <s v="USR-100907"/>
    <d v="2025-02-28T00:00:00"/>
    <x v="1"/>
    <x v="1"/>
    <x v="1"/>
    <x v="2"/>
    <s v="Free"/>
    <n v="1"/>
    <n v="1"/>
    <n v="0"/>
    <x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x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x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x v="0"/>
    <n v="0"/>
    <n v="0"/>
    <n v="0"/>
    <m/>
    <n v="54.2"/>
  </r>
  <r>
    <s v="USR-100911"/>
    <d v="2025-01-05T00:00:00"/>
    <x v="1"/>
    <x v="0"/>
    <x v="1"/>
    <x v="2"/>
    <s v="Free"/>
    <n v="1"/>
    <n v="1"/>
    <n v="0"/>
    <x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x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x v="0"/>
    <n v="0"/>
    <n v="0"/>
    <n v="0"/>
    <m/>
    <n v="59.7"/>
  </r>
  <r>
    <s v="USR-100914"/>
    <d v="2025-01-08T00:00:00"/>
    <x v="1"/>
    <x v="3"/>
    <x v="1"/>
    <x v="1"/>
    <s v="Free"/>
    <n v="1"/>
    <n v="1"/>
    <n v="1"/>
    <x v="0"/>
    <n v="0"/>
    <n v="0"/>
    <n v="0"/>
    <m/>
    <n v="72.5"/>
  </r>
  <r>
    <s v="USR-100915"/>
    <d v="2025-05-01T00:00:00"/>
    <x v="1"/>
    <x v="2"/>
    <x v="0"/>
    <x v="2"/>
    <s v="Free"/>
    <n v="1"/>
    <n v="0"/>
    <n v="0"/>
    <x v="0"/>
    <n v="0"/>
    <n v="0"/>
    <n v="0"/>
    <m/>
    <n v="64.3"/>
  </r>
  <r>
    <s v="USR-100916"/>
    <d v="2025-03-03T00:00:00"/>
    <x v="1"/>
    <x v="3"/>
    <x v="1"/>
    <x v="4"/>
    <s v="Free"/>
    <n v="1"/>
    <n v="0"/>
    <n v="0"/>
    <x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x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x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x v="0"/>
    <n v="0"/>
    <n v="0"/>
    <n v="0"/>
    <m/>
    <n v="56.6"/>
  </r>
  <r>
    <s v="USR-100920"/>
    <d v="2025-01-30T00:00:00"/>
    <x v="1"/>
    <x v="3"/>
    <x v="1"/>
    <x v="1"/>
    <s v="Free"/>
    <n v="1"/>
    <n v="0"/>
    <n v="0"/>
    <x v="0"/>
    <n v="0"/>
    <n v="0"/>
    <n v="0"/>
    <m/>
    <n v="61.8"/>
  </r>
  <r>
    <s v="USR-100921"/>
    <d v="2025-03-20T00:00:00"/>
    <x v="1"/>
    <x v="1"/>
    <x v="1"/>
    <x v="0"/>
    <s v="Free"/>
    <n v="1"/>
    <n v="1"/>
    <n v="1"/>
    <x v="1"/>
    <n v="513.52"/>
    <n v="0"/>
    <n v="0"/>
    <n v="8"/>
    <n v="43.4"/>
  </r>
  <r>
    <s v="USR-100922"/>
    <d v="2025-04-10T00:00:00"/>
    <x v="1"/>
    <x v="1"/>
    <x v="2"/>
    <x v="2"/>
    <s v="Free"/>
    <n v="0"/>
    <n v="0"/>
    <n v="0"/>
    <x v="0"/>
    <n v="0"/>
    <n v="0"/>
    <n v="0"/>
    <m/>
    <n v="43"/>
  </r>
  <r>
    <s v="USR-100923"/>
    <d v="2025-03-07T00:00:00"/>
    <x v="1"/>
    <x v="0"/>
    <x v="0"/>
    <x v="1"/>
    <s v="Free"/>
    <n v="1"/>
    <n v="1"/>
    <n v="1"/>
    <x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x v="0"/>
    <n v="0"/>
    <n v="0"/>
    <n v="0"/>
    <m/>
    <n v="48.8"/>
  </r>
  <r>
    <s v="USR-100925"/>
    <d v="2025-02-24T00:00:00"/>
    <x v="1"/>
    <x v="2"/>
    <x v="1"/>
    <x v="3"/>
    <s v="Free"/>
    <n v="0"/>
    <n v="0"/>
    <n v="0"/>
    <x v="0"/>
    <n v="0"/>
    <n v="0"/>
    <n v="0"/>
    <m/>
    <n v="73.2"/>
  </r>
  <r>
    <s v="USR-100926"/>
    <d v="2025-01-15T00:00:00"/>
    <x v="1"/>
    <x v="2"/>
    <x v="1"/>
    <x v="3"/>
    <s v="Free"/>
    <n v="1"/>
    <n v="1"/>
    <n v="1"/>
    <x v="0"/>
    <n v="0"/>
    <n v="0"/>
    <n v="0"/>
    <m/>
    <n v="80"/>
  </r>
  <r>
    <s v="USR-100927"/>
    <d v="2025-01-07T00:00:00"/>
    <x v="1"/>
    <x v="0"/>
    <x v="0"/>
    <x v="2"/>
    <s v="Free"/>
    <n v="1"/>
    <n v="0"/>
    <n v="0"/>
    <x v="0"/>
    <n v="0"/>
    <n v="0"/>
    <n v="0"/>
    <m/>
    <n v="52.3"/>
  </r>
  <r>
    <s v="USR-100928"/>
    <d v="2025-03-02T00:00:00"/>
    <x v="1"/>
    <x v="0"/>
    <x v="0"/>
    <x v="1"/>
    <s v="Free"/>
    <n v="0"/>
    <n v="0"/>
    <n v="0"/>
    <x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x v="0"/>
    <n v="0"/>
    <n v="0"/>
    <n v="0"/>
    <m/>
    <n v="45.3"/>
  </r>
  <r>
    <s v="USR-100930"/>
    <d v="2025-03-03T00:00:00"/>
    <x v="1"/>
    <x v="3"/>
    <x v="1"/>
    <x v="1"/>
    <s v="Free"/>
    <n v="1"/>
    <n v="1"/>
    <n v="0"/>
    <x v="0"/>
    <n v="0"/>
    <n v="0"/>
    <n v="0"/>
    <m/>
    <n v="49.1"/>
  </r>
  <r>
    <s v="USR-100931"/>
    <d v="2025-03-31T00:00:00"/>
    <x v="1"/>
    <x v="2"/>
    <x v="0"/>
    <x v="3"/>
    <s v="Free"/>
    <n v="1"/>
    <n v="1"/>
    <n v="1"/>
    <x v="1"/>
    <n v="476.44"/>
    <n v="0"/>
    <n v="0"/>
    <n v="3"/>
    <n v="88.6"/>
  </r>
  <r>
    <s v="USR-100932"/>
    <d v="2025-01-14T00:00:00"/>
    <x v="1"/>
    <x v="2"/>
    <x v="0"/>
    <x v="2"/>
    <s v="Premium"/>
    <n v="0"/>
    <n v="0"/>
    <n v="0"/>
    <x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x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x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x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x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x v="0"/>
    <n v="0"/>
    <n v="0"/>
    <n v="0"/>
    <m/>
    <n v="82"/>
  </r>
  <r>
    <s v="USR-100938"/>
    <d v="2025-04-18T00:00:00"/>
    <x v="1"/>
    <x v="2"/>
    <x v="1"/>
    <x v="2"/>
    <s v="Free"/>
    <n v="0"/>
    <n v="0"/>
    <n v="0"/>
    <x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x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x v="0"/>
    <n v="0"/>
    <n v="0"/>
    <n v="0"/>
    <m/>
    <n v="100"/>
  </r>
  <r>
    <s v="USR-100941"/>
    <d v="2025-01-15T00:00:00"/>
    <x v="1"/>
    <x v="2"/>
    <x v="1"/>
    <x v="0"/>
    <s v="Free"/>
    <n v="1"/>
    <n v="1"/>
    <n v="1"/>
    <x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x v="0"/>
    <n v="0"/>
    <n v="0"/>
    <n v="0"/>
    <m/>
    <n v="62"/>
  </r>
  <r>
    <s v="USR-100943"/>
    <d v="2025-02-04T00:00:00"/>
    <x v="1"/>
    <x v="3"/>
    <x v="1"/>
    <x v="2"/>
    <s v="Free"/>
    <n v="1"/>
    <n v="1"/>
    <n v="1"/>
    <x v="1"/>
    <n v="324.68"/>
    <n v="1"/>
    <n v="0"/>
    <n v="7"/>
    <n v="50.1"/>
  </r>
  <r>
    <s v="USR-100944"/>
    <d v="2025-02-22T00:00:00"/>
    <x v="1"/>
    <x v="3"/>
    <x v="1"/>
    <x v="3"/>
    <s v="Premium"/>
    <n v="1"/>
    <n v="0"/>
    <n v="0"/>
    <x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x v="0"/>
    <n v="0"/>
    <n v="0"/>
    <n v="0"/>
    <m/>
    <n v="49.7"/>
  </r>
  <r>
    <s v="USR-100946"/>
    <d v="2025-01-31T00:00:00"/>
    <x v="1"/>
    <x v="3"/>
    <x v="1"/>
    <x v="1"/>
    <s v="Free"/>
    <n v="1"/>
    <n v="0"/>
    <n v="0"/>
    <x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x v="0"/>
    <n v="0"/>
    <n v="0"/>
    <n v="0"/>
    <m/>
    <n v="70.8"/>
  </r>
  <r>
    <s v="USR-100948"/>
    <d v="2025-04-23T00:00:00"/>
    <x v="1"/>
    <x v="2"/>
    <x v="1"/>
    <x v="2"/>
    <s v="Free"/>
    <n v="1"/>
    <n v="1"/>
    <n v="1"/>
    <x v="1"/>
    <n v="301.98"/>
    <n v="0"/>
    <n v="0"/>
    <n v="10"/>
    <n v="52.2"/>
  </r>
  <r>
    <s v="USR-100949"/>
    <d v="2025-02-06T00:00:00"/>
    <x v="1"/>
    <x v="0"/>
    <x v="1"/>
    <x v="1"/>
    <s v="Free"/>
    <n v="1"/>
    <n v="1"/>
    <n v="1"/>
    <x v="0"/>
    <n v="0"/>
    <n v="0"/>
    <n v="0"/>
    <m/>
    <n v="73"/>
  </r>
  <r>
    <s v="USR-100950"/>
    <d v="2025-04-26T00:00:00"/>
    <x v="1"/>
    <x v="3"/>
    <x v="0"/>
    <x v="2"/>
    <s v="Free"/>
    <n v="0"/>
    <n v="0"/>
    <n v="0"/>
    <x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x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x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x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x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x v="0"/>
    <n v="0"/>
    <n v="0"/>
    <n v="0"/>
    <m/>
    <n v="67.3"/>
  </r>
  <r>
    <s v="USR-100956"/>
    <d v="2025-01-14T00:00:00"/>
    <x v="1"/>
    <x v="1"/>
    <x v="1"/>
    <x v="3"/>
    <s v="Free"/>
    <n v="0"/>
    <n v="0"/>
    <n v="0"/>
    <x v="0"/>
    <n v="0"/>
    <n v="2"/>
    <n v="0"/>
    <m/>
    <n v="41"/>
  </r>
  <r>
    <s v="USR-100957"/>
    <d v="2025-05-05T00:00:00"/>
    <x v="1"/>
    <x v="1"/>
    <x v="1"/>
    <x v="2"/>
    <s v="Free"/>
    <n v="0"/>
    <n v="0"/>
    <n v="0"/>
    <x v="0"/>
    <n v="0"/>
    <n v="0"/>
    <n v="0"/>
    <m/>
    <n v="48.1"/>
  </r>
  <r>
    <s v="USR-100958"/>
    <d v="2025-05-02T00:00:00"/>
    <x v="1"/>
    <x v="1"/>
    <x v="0"/>
    <x v="4"/>
    <s v="Free"/>
    <n v="0"/>
    <n v="0"/>
    <n v="0"/>
    <x v="0"/>
    <n v="0"/>
    <n v="1"/>
    <n v="0"/>
    <m/>
    <n v="60.8"/>
  </r>
  <r>
    <s v="USR-100959"/>
    <d v="2025-05-21T00:00:00"/>
    <x v="1"/>
    <x v="2"/>
    <x v="1"/>
    <x v="1"/>
    <s v="Free"/>
    <n v="1"/>
    <n v="0"/>
    <n v="0"/>
    <x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x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x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x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x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x v="0"/>
    <n v="0"/>
    <n v="0"/>
    <n v="0"/>
    <m/>
    <n v="37.9"/>
  </r>
  <r>
    <s v="USR-100965"/>
    <d v="2025-03-01T00:00:00"/>
    <x v="1"/>
    <x v="0"/>
    <x v="0"/>
    <x v="4"/>
    <s v="Free"/>
    <n v="1"/>
    <n v="0"/>
    <n v="0"/>
    <x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x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x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x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x v="0"/>
    <n v="0"/>
    <n v="0"/>
    <n v="0"/>
    <m/>
    <n v="64.3"/>
  </r>
  <r>
    <s v="USR-100970"/>
    <d v="2025-04-25T00:00:00"/>
    <x v="1"/>
    <x v="3"/>
    <x v="0"/>
    <x v="4"/>
    <s v="Free"/>
    <n v="0"/>
    <n v="0"/>
    <n v="0"/>
    <x v="0"/>
    <n v="0"/>
    <n v="1"/>
    <n v="0"/>
    <m/>
    <n v="57.4"/>
  </r>
  <r>
    <s v="USR-100971"/>
    <d v="2025-05-10T00:00:00"/>
    <x v="1"/>
    <x v="0"/>
    <x v="0"/>
    <x v="4"/>
    <s v="Free"/>
    <n v="1"/>
    <n v="1"/>
    <n v="1"/>
    <x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x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x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x v="0"/>
    <n v="0"/>
    <n v="0"/>
    <n v="0"/>
    <m/>
    <n v="80.5"/>
  </r>
  <r>
    <s v="USR-100975"/>
    <d v="2025-04-28T00:00:00"/>
    <x v="1"/>
    <x v="0"/>
    <x v="1"/>
    <x v="1"/>
    <s v="Free"/>
    <n v="1"/>
    <n v="0"/>
    <n v="0"/>
    <x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x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x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x v="0"/>
    <n v="0"/>
    <n v="1"/>
    <n v="0"/>
    <m/>
    <n v="57.8"/>
  </r>
  <r>
    <s v="USR-100979"/>
    <d v="2025-05-08T00:00:00"/>
    <x v="1"/>
    <x v="0"/>
    <x v="1"/>
    <x v="2"/>
    <s v="Free"/>
    <n v="1"/>
    <n v="0"/>
    <n v="0"/>
    <x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x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x v="0"/>
    <n v="0"/>
    <n v="0"/>
    <n v="0"/>
    <m/>
    <n v="66.5"/>
  </r>
  <r>
    <s v="USR-100982"/>
    <d v="2025-04-10T00:00:00"/>
    <x v="1"/>
    <x v="3"/>
    <x v="0"/>
    <x v="0"/>
    <s v="Free"/>
    <n v="1"/>
    <n v="0"/>
    <n v="0"/>
    <x v="0"/>
    <n v="0"/>
    <n v="3"/>
    <n v="0"/>
    <m/>
    <n v="51.5"/>
  </r>
  <r>
    <s v="USR-100983"/>
    <d v="2025-05-08T00:00:00"/>
    <x v="1"/>
    <x v="0"/>
    <x v="0"/>
    <x v="3"/>
    <s v="Free"/>
    <n v="1"/>
    <n v="0"/>
    <n v="0"/>
    <x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x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x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x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x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x v="0"/>
    <n v="0"/>
    <n v="0"/>
    <n v="0"/>
    <m/>
    <n v="64.2"/>
  </r>
  <r>
    <s v="USR-100989"/>
    <d v="2025-04-11T00:00:00"/>
    <x v="1"/>
    <x v="1"/>
    <x v="0"/>
    <x v="1"/>
    <s v="Free"/>
    <n v="0"/>
    <n v="0"/>
    <n v="0"/>
    <x v="0"/>
    <n v="0"/>
    <n v="0"/>
    <n v="0"/>
    <m/>
    <n v="60"/>
  </r>
  <r>
    <s v="USR-100990"/>
    <d v="2025-04-10T00:00:00"/>
    <x v="1"/>
    <x v="2"/>
    <x v="1"/>
    <x v="1"/>
    <s v="Basic"/>
    <n v="1"/>
    <n v="0"/>
    <n v="0"/>
    <x v="0"/>
    <n v="0"/>
    <n v="1"/>
    <n v="0"/>
    <m/>
    <n v="43.7"/>
  </r>
  <r>
    <s v="USR-100991"/>
    <d v="2025-01-13T00:00:00"/>
    <x v="1"/>
    <x v="1"/>
    <x v="0"/>
    <x v="4"/>
    <s v="Free"/>
    <n v="1"/>
    <n v="0"/>
    <n v="0"/>
    <x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x v="0"/>
    <n v="0"/>
    <n v="0"/>
    <n v="0"/>
    <m/>
    <n v="45.5"/>
  </r>
  <r>
    <s v="USR-100993"/>
    <d v="2025-01-29T00:00:00"/>
    <x v="1"/>
    <x v="2"/>
    <x v="1"/>
    <x v="2"/>
    <s v="Free"/>
    <n v="1"/>
    <n v="1"/>
    <n v="1"/>
    <x v="1"/>
    <n v="1772.97"/>
    <n v="0"/>
    <n v="0"/>
    <n v="8"/>
    <n v="61.2"/>
  </r>
  <r>
    <s v="USR-100994"/>
    <d v="2025-03-27T00:00:00"/>
    <x v="1"/>
    <x v="3"/>
    <x v="1"/>
    <x v="3"/>
    <s v="Free"/>
    <n v="0"/>
    <n v="0"/>
    <n v="0"/>
    <x v="0"/>
    <n v="0"/>
    <n v="0"/>
    <n v="0"/>
    <m/>
    <n v="87.8"/>
  </r>
  <r>
    <s v="USR-100995"/>
    <d v="2025-03-20T00:00:00"/>
    <x v="1"/>
    <x v="2"/>
    <x v="2"/>
    <x v="4"/>
    <s v="Free"/>
    <n v="0"/>
    <n v="0"/>
    <n v="0"/>
    <x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x v="0"/>
    <n v="0"/>
    <n v="1"/>
    <n v="0"/>
    <m/>
    <n v="71.400000000000006"/>
  </r>
  <r>
    <s v="USR-100997"/>
    <d v="2025-04-25T00:00:00"/>
    <x v="1"/>
    <x v="1"/>
    <x v="1"/>
    <x v="4"/>
    <s v="Free"/>
    <n v="1"/>
    <n v="1"/>
    <n v="1"/>
    <x v="1"/>
    <n v="218.66"/>
    <n v="0"/>
    <n v="1"/>
    <n v="8"/>
    <n v="72.2"/>
  </r>
  <r>
    <s v="USR-100998"/>
    <d v="2025-04-11T00:00:00"/>
    <x v="1"/>
    <x v="3"/>
    <x v="0"/>
    <x v="4"/>
    <s v="Free"/>
    <n v="1"/>
    <n v="0"/>
    <n v="0"/>
    <x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x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x v="0"/>
    <n v="0"/>
    <n v="1"/>
    <n v="0"/>
    <m/>
    <n v="49.2"/>
  </r>
  <r>
    <s v="USR-101001"/>
    <d v="2025-05-14T00:00:00"/>
    <x v="1"/>
    <x v="3"/>
    <x v="1"/>
    <x v="3"/>
    <s v="Free"/>
    <n v="0"/>
    <n v="0"/>
    <n v="0"/>
    <x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x v="0"/>
    <n v="0"/>
    <n v="1"/>
    <n v="0"/>
    <m/>
    <n v="62.6"/>
  </r>
  <r>
    <s v="USR-101003"/>
    <d v="2025-04-09T00:00:00"/>
    <x v="1"/>
    <x v="2"/>
    <x v="0"/>
    <x v="2"/>
    <s v="Free"/>
    <n v="1"/>
    <n v="1"/>
    <n v="0"/>
    <x v="0"/>
    <n v="0"/>
    <n v="0"/>
    <n v="0"/>
    <m/>
    <n v="100"/>
  </r>
  <r>
    <s v="USR-101004"/>
    <d v="2025-02-13T00:00:00"/>
    <x v="1"/>
    <x v="0"/>
    <x v="1"/>
    <x v="3"/>
    <s v="Basic"/>
    <n v="1"/>
    <n v="1"/>
    <n v="1"/>
    <x v="0"/>
    <n v="0"/>
    <n v="2"/>
    <n v="0"/>
    <m/>
    <n v="45.9"/>
  </r>
  <r>
    <s v="USR-101005"/>
    <d v="2025-05-03T00:00:00"/>
    <x v="1"/>
    <x v="2"/>
    <x v="1"/>
    <x v="0"/>
    <s v="Free"/>
    <n v="1"/>
    <n v="1"/>
    <n v="1"/>
    <x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x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x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x v="0"/>
    <n v="0"/>
    <n v="0"/>
    <n v="0"/>
    <m/>
    <n v="66"/>
  </r>
  <r>
    <s v="USR-101009"/>
    <d v="2025-05-22T00:00:00"/>
    <x v="1"/>
    <x v="1"/>
    <x v="0"/>
    <x v="3"/>
    <s v="Basic"/>
    <n v="0"/>
    <n v="0"/>
    <n v="0"/>
    <x v="0"/>
    <n v="0"/>
    <n v="0"/>
    <n v="0"/>
    <m/>
    <n v="63.1"/>
  </r>
  <r>
    <s v="USR-101010"/>
    <d v="2025-05-21T00:00:00"/>
    <x v="1"/>
    <x v="3"/>
    <x v="0"/>
    <x v="1"/>
    <s v="Free"/>
    <n v="0"/>
    <n v="0"/>
    <n v="0"/>
    <x v="0"/>
    <n v="0"/>
    <n v="0"/>
    <n v="0"/>
    <m/>
    <n v="56"/>
  </r>
  <r>
    <s v="USR-101011"/>
    <d v="2025-04-10T00:00:00"/>
    <x v="1"/>
    <x v="2"/>
    <x v="0"/>
    <x v="1"/>
    <s v="Free"/>
    <n v="1"/>
    <n v="0"/>
    <n v="0"/>
    <x v="0"/>
    <n v="0"/>
    <n v="1"/>
    <n v="0"/>
    <m/>
    <n v="65.7"/>
  </r>
  <r>
    <s v="USR-101012"/>
    <d v="2025-01-07T00:00:00"/>
    <x v="1"/>
    <x v="0"/>
    <x v="0"/>
    <x v="1"/>
    <s v="Premium"/>
    <n v="1"/>
    <n v="1"/>
    <n v="1"/>
    <x v="1"/>
    <n v="1938.31"/>
    <n v="1"/>
    <n v="0"/>
    <n v="9"/>
    <n v="60.9"/>
  </r>
  <r>
    <s v="USR-101013"/>
    <d v="2025-02-03T00:00:00"/>
    <x v="1"/>
    <x v="3"/>
    <x v="0"/>
    <x v="4"/>
    <s v="Free"/>
    <n v="0"/>
    <n v="0"/>
    <n v="0"/>
    <x v="0"/>
    <n v="0"/>
    <n v="0"/>
    <n v="0"/>
    <m/>
    <n v="45.5"/>
  </r>
  <r>
    <s v="USR-101014"/>
    <d v="2025-05-18T00:00:00"/>
    <x v="1"/>
    <x v="0"/>
    <x v="1"/>
    <x v="2"/>
    <s v="Free"/>
    <n v="1"/>
    <n v="0"/>
    <n v="0"/>
    <x v="0"/>
    <n v="0"/>
    <n v="0"/>
    <n v="0"/>
    <m/>
    <n v="50"/>
  </r>
  <r>
    <s v="USR-101015"/>
    <d v="2025-01-31T00:00:00"/>
    <x v="1"/>
    <x v="0"/>
    <x v="1"/>
    <x v="3"/>
    <s v="Free"/>
    <n v="1"/>
    <n v="0"/>
    <n v="0"/>
    <x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x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x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x v="0"/>
    <n v="0"/>
    <n v="0"/>
    <n v="0"/>
    <m/>
    <n v="63.6"/>
  </r>
  <r>
    <s v="USR-101019"/>
    <d v="2025-04-23T00:00:00"/>
    <x v="1"/>
    <x v="3"/>
    <x v="1"/>
    <x v="1"/>
    <s v="Free"/>
    <n v="1"/>
    <n v="0"/>
    <n v="0"/>
    <x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x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x v="0"/>
    <n v="0"/>
    <n v="0"/>
    <n v="0"/>
    <m/>
    <n v="45"/>
  </r>
  <r>
    <s v="USR-101022"/>
    <d v="2025-05-04T00:00:00"/>
    <x v="1"/>
    <x v="3"/>
    <x v="1"/>
    <x v="1"/>
    <s v="Free"/>
    <n v="1"/>
    <n v="0"/>
    <n v="0"/>
    <x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x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x v="0"/>
    <n v="0"/>
    <n v="0"/>
    <n v="0"/>
    <m/>
    <n v="74"/>
  </r>
  <r>
    <s v="USR-101025"/>
    <d v="2025-04-03T00:00:00"/>
    <x v="1"/>
    <x v="0"/>
    <x v="1"/>
    <x v="4"/>
    <s v="Premium"/>
    <n v="1"/>
    <n v="1"/>
    <n v="1"/>
    <x v="1"/>
    <n v="1906.23"/>
    <n v="0"/>
    <n v="0"/>
    <n v="4"/>
    <n v="84.6"/>
  </r>
  <r>
    <s v="USR-101026"/>
    <d v="2025-03-26T00:00:00"/>
    <x v="1"/>
    <x v="2"/>
    <x v="1"/>
    <x v="3"/>
    <s v="Free"/>
    <n v="1"/>
    <n v="0"/>
    <n v="0"/>
    <x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x v="0"/>
    <n v="0"/>
    <n v="0"/>
    <n v="0"/>
    <m/>
    <n v="46.3"/>
  </r>
  <r>
    <s v="USR-101028"/>
    <d v="2025-04-20T00:00:00"/>
    <x v="1"/>
    <x v="1"/>
    <x v="1"/>
    <x v="4"/>
    <s v="Free"/>
    <n v="0"/>
    <n v="0"/>
    <n v="0"/>
    <x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x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x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x v="0"/>
    <n v="0"/>
    <n v="0"/>
    <n v="0"/>
    <m/>
    <n v="61.6"/>
  </r>
  <r>
    <s v="USR-101032"/>
    <d v="2025-05-19T00:00:00"/>
    <x v="1"/>
    <x v="0"/>
    <x v="1"/>
    <x v="2"/>
    <s v="Free"/>
    <n v="1"/>
    <n v="0"/>
    <n v="0"/>
    <x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x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x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x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x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x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x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x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x v="0"/>
    <n v="0"/>
    <n v="0"/>
    <n v="0"/>
    <m/>
    <n v="60.4"/>
  </r>
  <r>
    <s v="USR-101041"/>
    <d v="2025-05-16T00:00:00"/>
    <x v="1"/>
    <x v="2"/>
    <x v="1"/>
    <x v="3"/>
    <s v="Free"/>
    <n v="1"/>
    <n v="0"/>
    <n v="0"/>
    <x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x v="0"/>
    <n v="0"/>
    <n v="1"/>
    <n v="0"/>
    <m/>
    <n v="42.2"/>
  </r>
  <r>
    <s v="USR-101043"/>
    <d v="2025-05-25T00:00:00"/>
    <x v="1"/>
    <x v="0"/>
    <x v="0"/>
    <x v="1"/>
    <s v="Free"/>
    <n v="0"/>
    <n v="0"/>
    <n v="0"/>
    <x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x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x v="0"/>
    <n v="0"/>
    <n v="0"/>
    <n v="0"/>
    <m/>
    <n v="68"/>
  </r>
  <r>
    <s v="USR-101046"/>
    <d v="2025-03-30T00:00:00"/>
    <x v="1"/>
    <x v="0"/>
    <x v="1"/>
    <x v="2"/>
    <s v="Free"/>
    <n v="1"/>
    <n v="0"/>
    <n v="0"/>
    <x v="0"/>
    <n v="0"/>
    <n v="0"/>
    <n v="0"/>
    <m/>
    <n v="61"/>
  </r>
  <r>
    <s v="USR-101047"/>
    <d v="2025-04-13T00:00:00"/>
    <x v="1"/>
    <x v="1"/>
    <x v="1"/>
    <x v="1"/>
    <s v="Basic"/>
    <n v="1"/>
    <n v="0"/>
    <n v="0"/>
    <x v="0"/>
    <n v="0"/>
    <n v="0"/>
    <n v="0"/>
    <m/>
    <n v="55"/>
  </r>
  <r>
    <s v="USR-101048"/>
    <d v="2025-02-20T00:00:00"/>
    <x v="1"/>
    <x v="2"/>
    <x v="3"/>
    <x v="2"/>
    <s v="Basic"/>
    <n v="1"/>
    <n v="0"/>
    <n v="0"/>
    <x v="0"/>
    <n v="0"/>
    <n v="0"/>
    <n v="0"/>
    <m/>
    <n v="63.1"/>
  </r>
  <r>
    <s v="USR-101049"/>
    <d v="2025-04-19T00:00:00"/>
    <x v="1"/>
    <x v="1"/>
    <x v="0"/>
    <x v="4"/>
    <s v="Free"/>
    <n v="1"/>
    <n v="0"/>
    <n v="0"/>
    <x v="0"/>
    <n v="0"/>
    <n v="0"/>
    <n v="0"/>
    <m/>
    <n v="75.8"/>
  </r>
  <r>
    <s v="USR-101050"/>
    <d v="2025-03-22T00:00:00"/>
    <x v="1"/>
    <x v="3"/>
    <x v="1"/>
    <x v="2"/>
    <s v="Free"/>
    <n v="1"/>
    <n v="1"/>
    <n v="0"/>
    <x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x v="0"/>
    <n v="0"/>
    <n v="0"/>
    <n v="0"/>
    <m/>
    <n v="46.8"/>
  </r>
  <r>
    <s v="USR-101052"/>
    <d v="2025-05-24T00:00:00"/>
    <x v="1"/>
    <x v="2"/>
    <x v="1"/>
    <x v="4"/>
    <s v="Free"/>
    <n v="1"/>
    <n v="1"/>
    <n v="1"/>
    <x v="0"/>
    <n v="0"/>
    <n v="0"/>
    <n v="0"/>
    <m/>
    <n v="97.4"/>
  </r>
  <r>
    <s v="USR-101053"/>
    <d v="2025-02-03T00:00:00"/>
    <x v="1"/>
    <x v="0"/>
    <x v="0"/>
    <x v="0"/>
    <s v="Free"/>
    <n v="1"/>
    <n v="1"/>
    <n v="1"/>
    <x v="1"/>
    <n v="268.95999999999998"/>
    <n v="0"/>
    <n v="0"/>
    <n v="14"/>
    <n v="81"/>
  </r>
  <r>
    <s v="USR-101054"/>
    <d v="2025-01-27T00:00:00"/>
    <x v="1"/>
    <x v="3"/>
    <x v="1"/>
    <x v="1"/>
    <s v="Free"/>
    <n v="1"/>
    <n v="0"/>
    <n v="0"/>
    <x v="0"/>
    <n v="0"/>
    <n v="1"/>
    <n v="0"/>
    <m/>
    <n v="58.9"/>
  </r>
  <r>
    <s v="USR-101055"/>
    <d v="2025-04-17T00:00:00"/>
    <x v="1"/>
    <x v="2"/>
    <x v="1"/>
    <x v="1"/>
    <s v="Free"/>
    <n v="1"/>
    <n v="0"/>
    <n v="0"/>
    <x v="0"/>
    <n v="0"/>
    <n v="0"/>
    <n v="0"/>
    <m/>
    <n v="51.9"/>
  </r>
  <r>
    <s v="USR-101056"/>
    <d v="2025-02-06T00:00:00"/>
    <x v="1"/>
    <x v="1"/>
    <x v="1"/>
    <x v="4"/>
    <s v="Free"/>
    <n v="1"/>
    <n v="1"/>
    <n v="0"/>
    <x v="0"/>
    <n v="0"/>
    <n v="0"/>
    <n v="0"/>
    <m/>
    <n v="61.7"/>
  </r>
  <r>
    <s v="USR-101057"/>
    <d v="2025-04-20T00:00:00"/>
    <x v="1"/>
    <x v="3"/>
    <x v="1"/>
    <x v="2"/>
    <s v="Free"/>
    <n v="1"/>
    <n v="0"/>
    <n v="0"/>
    <x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x v="0"/>
    <n v="0"/>
    <n v="0"/>
    <n v="0"/>
    <m/>
    <n v="63.2"/>
  </r>
  <r>
    <s v="USR-101059"/>
    <d v="2025-05-16T00:00:00"/>
    <x v="1"/>
    <x v="3"/>
    <x v="1"/>
    <x v="1"/>
    <s v="Free"/>
    <n v="1"/>
    <n v="0"/>
    <n v="0"/>
    <x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x v="0"/>
    <n v="0"/>
    <n v="1"/>
    <n v="0"/>
    <m/>
    <n v="83.1"/>
  </r>
  <r>
    <s v="USR-101061"/>
    <d v="2025-04-09T00:00:00"/>
    <x v="1"/>
    <x v="1"/>
    <x v="1"/>
    <x v="4"/>
    <s v="Free"/>
    <n v="0"/>
    <n v="0"/>
    <n v="0"/>
    <x v="0"/>
    <n v="0"/>
    <n v="0"/>
    <n v="0"/>
    <m/>
    <n v="50.3"/>
  </r>
  <r>
    <s v="USR-101062"/>
    <d v="2025-01-26T00:00:00"/>
    <x v="1"/>
    <x v="2"/>
    <x v="1"/>
    <x v="2"/>
    <s v="Free"/>
    <n v="1"/>
    <n v="1"/>
    <n v="1"/>
    <x v="1"/>
    <n v="437.09"/>
    <n v="2"/>
    <n v="1"/>
    <n v="1"/>
    <n v="58.2"/>
  </r>
  <r>
    <s v="USR-101063"/>
    <d v="2025-02-25T00:00:00"/>
    <x v="1"/>
    <x v="3"/>
    <x v="1"/>
    <x v="2"/>
    <s v="Basic"/>
    <n v="1"/>
    <n v="1"/>
    <n v="1"/>
    <x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x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x v="0"/>
    <n v="0"/>
    <n v="0"/>
    <n v="0"/>
    <m/>
    <n v="72.7"/>
  </r>
  <r>
    <s v="USR-101066"/>
    <d v="2025-05-22T00:00:00"/>
    <x v="1"/>
    <x v="2"/>
    <x v="1"/>
    <x v="3"/>
    <s v="Free"/>
    <n v="1"/>
    <n v="0"/>
    <n v="0"/>
    <x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x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x v="0"/>
    <n v="0"/>
    <n v="1"/>
    <n v="0"/>
    <m/>
    <n v="57.6"/>
  </r>
  <r>
    <s v="USR-101069"/>
    <d v="2025-02-11T00:00:00"/>
    <x v="1"/>
    <x v="0"/>
    <x v="1"/>
    <x v="1"/>
    <s v="Free"/>
    <n v="1"/>
    <n v="1"/>
    <n v="1"/>
    <x v="0"/>
    <n v="0"/>
    <n v="0"/>
    <n v="0"/>
    <m/>
    <n v="75.7"/>
  </r>
  <r>
    <s v="USR-101070"/>
    <d v="2025-03-11T00:00:00"/>
    <x v="1"/>
    <x v="1"/>
    <x v="0"/>
    <x v="2"/>
    <s v="Free"/>
    <n v="1"/>
    <n v="0"/>
    <n v="0"/>
    <x v="0"/>
    <n v="0"/>
    <n v="2"/>
    <n v="0"/>
    <m/>
    <n v="48.6"/>
  </r>
  <r>
    <s v="USR-101071"/>
    <d v="2025-04-11T00:00:00"/>
    <x v="1"/>
    <x v="2"/>
    <x v="2"/>
    <x v="3"/>
    <s v="Free"/>
    <n v="1"/>
    <n v="1"/>
    <n v="1"/>
    <x v="0"/>
    <n v="0"/>
    <n v="0"/>
    <n v="0"/>
    <m/>
    <n v="72"/>
  </r>
  <r>
    <s v="USR-101072"/>
    <d v="2025-03-11T00:00:00"/>
    <x v="1"/>
    <x v="0"/>
    <x v="1"/>
    <x v="1"/>
    <s v="Free"/>
    <n v="0"/>
    <n v="0"/>
    <n v="0"/>
    <x v="0"/>
    <n v="0"/>
    <n v="0"/>
    <n v="0"/>
    <m/>
    <n v="72.2"/>
  </r>
  <r>
    <s v="USR-101073"/>
    <d v="2025-05-22T00:00:00"/>
    <x v="1"/>
    <x v="2"/>
    <x v="1"/>
    <x v="3"/>
    <s v="Free"/>
    <n v="1"/>
    <n v="0"/>
    <n v="0"/>
    <x v="0"/>
    <n v="0"/>
    <n v="1"/>
    <n v="0"/>
    <m/>
    <m/>
  </r>
  <r>
    <s v="USR-101074"/>
    <d v="2025-02-22T00:00:00"/>
    <x v="1"/>
    <x v="3"/>
    <x v="0"/>
    <x v="1"/>
    <s v="Free"/>
    <n v="1"/>
    <n v="1"/>
    <n v="1"/>
    <x v="1"/>
    <n v="331.53"/>
    <n v="2"/>
    <n v="0"/>
    <n v="4"/>
    <n v="56.8"/>
  </r>
  <r>
    <s v="USR-101075"/>
    <d v="2025-01-13T00:00:00"/>
    <x v="1"/>
    <x v="2"/>
    <x v="1"/>
    <x v="2"/>
    <s v="Basic"/>
    <n v="1"/>
    <n v="0"/>
    <n v="0"/>
    <x v="0"/>
    <n v="0"/>
    <n v="0"/>
    <n v="0"/>
    <m/>
    <n v="62.5"/>
  </r>
  <r>
    <s v="USR-101076"/>
    <d v="2025-05-19T00:00:00"/>
    <x v="1"/>
    <x v="3"/>
    <x v="1"/>
    <x v="1"/>
    <s v="Free"/>
    <n v="1"/>
    <n v="0"/>
    <n v="0"/>
    <x v="0"/>
    <n v="0"/>
    <n v="0"/>
    <n v="0"/>
    <m/>
    <n v="63.4"/>
  </r>
  <r>
    <s v="USR-101077"/>
    <d v="2025-03-08T00:00:00"/>
    <x v="1"/>
    <x v="0"/>
    <x v="2"/>
    <x v="1"/>
    <s v="Basic"/>
    <n v="1"/>
    <n v="1"/>
    <n v="1"/>
    <x v="1"/>
    <n v="774.78"/>
    <n v="0"/>
    <n v="0"/>
    <n v="3"/>
    <n v="46.8"/>
  </r>
  <r>
    <s v="USR-101078"/>
    <d v="2025-04-20T00:00:00"/>
    <x v="1"/>
    <x v="3"/>
    <x v="1"/>
    <x v="1"/>
    <s v="Free"/>
    <n v="1"/>
    <n v="1"/>
    <n v="1"/>
    <x v="1"/>
    <n v="422.02"/>
    <n v="0"/>
    <n v="0"/>
    <n v="8"/>
    <n v="86.5"/>
  </r>
  <r>
    <s v="USR-101079"/>
    <d v="2025-05-08T00:00:00"/>
    <x v="1"/>
    <x v="1"/>
    <x v="1"/>
    <x v="0"/>
    <s v="Basic"/>
    <n v="0"/>
    <n v="0"/>
    <n v="0"/>
    <x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x v="0"/>
    <n v="0"/>
    <n v="0"/>
    <n v="0"/>
    <m/>
    <n v="64.5"/>
  </r>
  <r>
    <s v="USR-101081"/>
    <d v="2025-03-28T00:00:00"/>
    <x v="1"/>
    <x v="2"/>
    <x v="1"/>
    <x v="1"/>
    <s v="Free"/>
    <n v="1"/>
    <n v="0"/>
    <n v="0"/>
    <x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x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x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x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x v="0"/>
    <n v="0"/>
    <n v="1"/>
    <n v="0"/>
    <m/>
    <n v="58.7"/>
  </r>
  <r>
    <s v="USR-101086"/>
    <d v="2025-04-12T00:00:00"/>
    <x v="1"/>
    <x v="3"/>
    <x v="1"/>
    <x v="4"/>
    <s v="Free"/>
    <n v="1"/>
    <n v="1"/>
    <n v="1"/>
    <x v="0"/>
    <n v="0"/>
    <n v="0"/>
    <n v="0"/>
    <m/>
    <n v="59.3"/>
  </r>
  <r>
    <s v="USR-101087"/>
    <d v="2025-02-02T00:00:00"/>
    <x v="1"/>
    <x v="3"/>
    <x v="1"/>
    <x v="2"/>
    <s v="Free"/>
    <n v="1"/>
    <n v="0"/>
    <n v="0"/>
    <x v="0"/>
    <n v="0"/>
    <n v="0"/>
    <n v="0"/>
    <m/>
    <n v="62"/>
  </r>
  <r>
    <s v="USR-101088"/>
    <d v="2025-04-22T00:00:00"/>
    <x v="1"/>
    <x v="0"/>
    <x v="2"/>
    <x v="3"/>
    <s v="Free"/>
    <n v="1"/>
    <n v="1"/>
    <n v="1"/>
    <x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x v="0"/>
    <n v="0"/>
    <n v="0"/>
    <n v="0"/>
    <m/>
    <n v="70.5"/>
  </r>
  <r>
    <s v="USR-101090"/>
    <d v="2025-01-24T00:00:00"/>
    <x v="1"/>
    <x v="3"/>
    <x v="0"/>
    <x v="0"/>
    <s v="Free"/>
    <n v="1"/>
    <n v="0"/>
    <n v="0"/>
    <x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x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x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x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x v="0"/>
    <n v="0"/>
    <n v="0"/>
    <n v="0"/>
    <m/>
    <n v="46.4"/>
  </r>
  <r>
    <s v="USR-101095"/>
    <d v="2025-01-25T00:00:00"/>
    <x v="1"/>
    <x v="1"/>
    <x v="1"/>
    <x v="1"/>
    <s v="Free"/>
    <n v="1"/>
    <n v="1"/>
    <n v="1"/>
    <x v="0"/>
    <n v="0"/>
    <n v="1"/>
    <n v="0"/>
    <m/>
    <n v="81.3"/>
  </r>
  <r>
    <s v="USR-101096"/>
    <d v="2025-01-12T00:00:00"/>
    <x v="1"/>
    <x v="3"/>
    <x v="2"/>
    <x v="4"/>
    <s v="Free"/>
    <n v="1"/>
    <n v="1"/>
    <n v="1"/>
    <x v="0"/>
    <n v="0"/>
    <n v="0"/>
    <n v="0"/>
    <m/>
    <n v="55.3"/>
  </r>
  <r>
    <s v="USR-101097"/>
    <d v="2025-03-18T00:00:00"/>
    <x v="1"/>
    <x v="2"/>
    <x v="0"/>
    <x v="3"/>
    <s v="Free"/>
    <n v="1"/>
    <n v="0"/>
    <n v="0"/>
    <x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x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x v="0"/>
    <n v="0"/>
    <n v="0"/>
    <n v="0"/>
    <m/>
    <m/>
  </r>
  <r>
    <s v="USR-101100"/>
    <d v="2025-04-17T00:00:00"/>
    <x v="1"/>
    <x v="2"/>
    <x v="1"/>
    <x v="1"/>
    <s v="Premium"/>
    <n v="1"/>
    <n v="1"/>
    <n v="1"/>
    <x v="0"/>
    <n v="0"/>
    <n v="1"/>
    <n v="0"/>
    <m/>
    <n v="70.8"/>
  </r>
  <r>
    <s v="USR-101101"/>
    <d v="2025-05-26T00:00:00"/>
    <x v="1"/>
    <x v="3"/>
    <x v="1"/>
    <x v="2"/>
    <s v="Free"/>
    <n v="1"/>
    <n v="0"/>
    <n v="0"/>
    <x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x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x v="0"/>
    <n v="0"/>
    <n v="0"/>
    <n v="0"/>
    <m/>
    <n v="58.9"/>
  </r>
  <r>
    <s v="USR-101104"/>
    <d v="2025-01-06T00:00:00"/>
    <x v="1"/>
    <x v="2"/>
    <x v="1"/>
    <x v="3"/>
    <s v="Free"/>
    <n v="0"/>
    <n v="0"/>
    <n v="0"/>
    <x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x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x v="0"/>
    <n v="0"/>
    <n v="0"/>
    <n v="0"/>
    <m/>
    <n v="77.3"/>
  </r>
  <r>
    <s v="USR-101107"/>
    <d v="2025-02-25T00:00:00"/>
    <x v="1"/>
    <x v="0"/>
    <x v="1"/>
    <x v="1"/>
    <s v="Free"/>
    <n v="0"/>
    <n v="0"/>
    <n v="0"/>
    <x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x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x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x v="0"/>
    <n v="0"/>
    <n v="0"/>
    <n v="0"/>
    <m/>
    <n v="77.7"/>
  </r>
  <r>
    <s v="USR-101111"/>
    <d v="2025-04-03T00:00:00"/>
    <x v="1"/>
    <x v="3"/>
    <x v="1"/>
    <x v="1"/>
    <s v="Free"/>
    <n v="1"/>
    <n v="0"/>
    <n v="0"/>
    <x v="0"/>
    <n v="0"/>
    <n v="1"/>
    <n v="0"/>
    <m/>
    <n v="66.2"/>
  </r>
  <r>
    <s v="USR-101112"/>
    <d v="2025-03-26T00:00:00"/>
    <x v="1"/>
    <x v="3"/>
    <x v="1"/>
    <x v="1"/>
    <s v="Free"/>
    <n v="1"/>
    <n v="1"/>
    <n v="1"/>
    <x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x v="0"/>
    <n v="0"/>
    <n v="2"/>
    <n v="0"/>
    <m/>
    <n v="59.1"/>
  </r>
  <r>
    <s v="USR-101114"/>
    <d v="2025-01-25T00:00:00"/>
    <x v="1"/>
    <x v="3"/>
    <x v="1"/>
    <x v="4"/>
    <s v="Free"/>
    <n v="1"/>
    <n v="1"/>
    <n v="1"/>
    <x v="1"/>
    <n v="416.94"/>
    <n v="1"/>
    <n v="0"/>
    <n v="11"/>
    <n v="67"/>
  </r>
  <r>
    <s v="USR-101115"/>
    <d v="2025-02-06T00:00:00"/>
    <x v="1"/>
    <x v="1"/>
    <x v="1"/>
    <x v="3"/>
    <s v="Basic"/>
    <n v="1"/>
    <n v="0"/>
    <n v="0"/>
    <x v="0"/>
    <n v="0"/>
    <n v="0"/>
    <n v="0"/>
    <m/>
    <n v="47.9"/>
  </r>
  <r>
    <s v="USR-101116"/>
    <d v="2025-03-10T00:00:00"/>
    <x v="1"/>
    <x v="2"/>
    <x v="1"/>
    <x v="2"/>
    <s v="Free"/>
    <n v="1"/>
    <n v="1"/>
    <n v="0"/>
    <x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x v="0"/>
    <n v="0"/>
    <n v="3"/>
    <n v="0"/>
    <m/>
    <n v="30.6"/>
  </r>
  <r>
    <s v="USR-101118"/>
    <d v="2025-01-01T00:00:00"/>
    <x v="1"/>
    <x v="2"/>
    <x v="1"/>
    <x v="2"/>
    <s v="Free"/>
    <n v="1"/>
    <n v="1"/>
    <n v="0"/>
    <x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x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x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x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x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x v="0"/>
    <n v="0"/>
    <n v="0"/>
    <n v="0"/>
    <m/>
    <n v="51.9"/>
  </r>
  <r>
    <s v="USR-101124"/>
    <d v="2025-04-03T00:00:00"/>
    <x v="1"/>
    <x v="2"/>
    <x v="1"/>
    <x v="2"/>
    <s v="Free"/>
    <n v="1"/>
    <n v="1"/>
    <n v="0"/>
    <x v="0"/>
    <n v="0"/>
    <n v="0"/>
    <n v="0"/>
    <m/>
    <n v="49.8"/>
  </r>
  <r>
    <s v="USR-101125"/>
    <d v="2025-01-11T00:00:00"/>
    <x v="1"/>
    <x v="2"/>
    <x v="0"/>
    <x v="4"/>
    <s v="Free"/>
    <n v="1"/>
    <n v="1"/>
    <n v="1"/>
    <x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x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x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x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x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x v="0"/>
    <n v="0"/>
    <n v="0"/>
    <n v="0"/>
    <m/>
    <n v="63.2"/>
  </r>
  <r>
    <s v="USR-101131"/>
    <d v="2025-05-01T00:00:00"/>
    <x v="1"/>
    <x v="1"/>
    <x v="0"/>
    <x v="3"/>
    <s v="Free"/>
    <n v="1"/>
    <n v="1"/>
    <n v="1"/>
    <x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x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x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x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x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x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x v="0"/>
    <n v="0"/>
    <n v="0"/>
    <n v="0"/>
    <m/>
    <n v="60.2"/>
  </r>
  <r>
    <s v="USR-101138"/>
    <d v="2025-01-25T00:00:00"/>
    <x v="1"/>
    <x v="1"/>
    <x v="1"/>
    <x v="0"/>
    <s v="Free"/>
    <n v="1"/>
    <n v="1"/>
    <n v="0"/>
    <x v="0"/>
    <n v="0"/>
    <n v="0"/>
    <n v="0"/>
    <m/>
    <n v="73.5"/>
  </r>
  <r>
    <s v="USR-101139"/>
    <d v="2025-04-10T00:00:00"/>
    <x v="1"/>
    <x v="3"/>
    <x v="1"/>
    <x v="1"/>
    <s v="Free"/>
    <n v="1"/>
    <n v="0"/>
    <n v="0"/>
    <x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x v="0"/>
    <n v="0"/>
    <n v="0"/>
    <n v="0"/>
    <m/>
    <n v="63.7"/>
  </r>
  <r>
    <s v="USR-101141"/>
    <d v="2025-02-11T00:00:00"/>
    <x v="1"/>
    <x v="3"/>
    <x v="1"/>
    <x v="2"/>
    <s v="Free"/>
    <n v="1"/>
    <n v="0"/>
    <n v="0"/>
    <x v="0"/>
    <n v="0"/>
    <n v="0"/>
    <n v="0"/>
    <m/>
    <n v="86.5"/>
  </r>
  <r>
    <s v="USR-101142"/>
    <d v="2025-05-01T00:00:00"/>
    <x v="1"/>
    <x v="2"/>
    <x v="1"/>
    <x v="4"/>
    <s v="Basic"/>
    <n v="1"/>
    <n v="1"/>
    <n v="1"/>
    <x v="1"/>
    <n v="921.72"/>
    <n v="3"/>
    <n v="0"/>
    <n v="7"/>
    <n v="74.599999999999994"/>
  </r>
  <r>
    <s v="USR-101143"/>
    <d v="2025-01-18T00:00:00"/>
    <x v="1"/>
    <x v="2"/>
    <x v="1"/>
    <x v="1"/>
    <s v="Free"/>
    <n v="1"/>
    <n v="0"/>
    <n v="0"/>
    <x v="0"/>
    <n v="0"/>
    <n v="0"/>
    <n v="0"/>
    <m/>
    <n v="46.6"/>
  </r>
  <r>
    <s v="USR-101144"/>
    <d v="2025-01-02T00:00:00"/>
    <x v="1"/>
    <x v="0"/>
    <x v="1"/>
    <x v="2"/>
    <s v="Free"/>
    <n v="0"/>
    <n v="0"/>
    <n v="0"/>
    <x v="0"/>
    <n v="0"/>
    <n v="0"/>
    <n v="0"/>
    <m/>
    <n v="61.2"/>
  </r>
  <r>
    <s v="USR-101145"/>
    <d v="2025-05-11T00:00:00"/>
    <x v="1"/>
    <x v="1"/>
    <x v="1"/>
    <x v="1"/>
    <s v="Free"/>
    <n v="1"/>
    <n v="1"/>
    <n v="1"/>
    <x v="1"/>
    <n v="290.39"/>
    <n v="0"/>
    <n v="0"/>
    <n v="4"/>
    <n v="54.4"/>
  </r>
  <r>
    <s v="USR-101146"/>
    <d v="2025-03-22T00:00:00"/>
    <x v="1"/>
    <x v="0"/>
    <x v="1"/>
    <x v="3"/>
    <s v="Free"/>
    <n v="1"/>
    <n v="1"/>
    <n v="1"/>
    <x v="0"/>
    <n v="0"/>
    <n v="0"/>
    <n v="0"/>
    <m/>
    <n v="72"/>
  </r>
  <r>
    <s v="USR-101147"/>
    <d v="2025-05-02T00:00:00"/>
    <x v="1"/>
    <x v="3"/>
    <x v="1"/>
    <x v="4"/>
    <s v="Premium"/>
    <n v="1"/>
    <n v="1"/>
    <n v="1"/>
    <x v="1"/>
    <n v="1858.85"/>
    <n v="0"/>
    <n v="0"/>
    <n v="8"/>
    <n v="88.6"/>
  </r>
  <r>
    <s v="USR-101148"/>
    <d v="2025-05-26T00:00:00"/>
    <x v="1"/>
    <x v="2"/>
    <x v="0"/>
    <x v="5"/>
    <s v="Basic"/>
    <n v="1"/>
    <n v="0"/>
    <n v="0"/>
    <x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x v="0"/>
    <n v="0"/>
    <n v="1"/>
    <n v="0"/>
    <m/>
    <n v="44.3"/>
  </r>
  <r>
    <s v="USR-101150"/>
    <d v="2025-05-17T00:00:00"/>
    <x v="1"/>
    <x v="3"/>
    <x v="0"/>
    <x v="2"/>
    <s v="Free"/>
    <n v="1"/>
    <n v="1"/>
    <n v="0"/>
    <x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x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x v="0"/>
    <n v="0"/>
    <n v="1"/>
    <n v="0"/>
    <m/>
    <n v="69"/>
  </r>
  <r>
    <s v="USR-101153"/>
    <d v="2025-03-01T00:00:00"/>
    <x v="1"/>
    <x v="1"/>
    <x v="1"/>
    <x v="4"/>
    <s v="Free"/>
    <n v="0"/>
    <n v="0"/>
    <n v="0"/>
    <x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x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x v="0"/>
    <n v="0"/>
    <n v="0"/>
    <n v="0"/>
    <m/>
    <n v="60.8"/>
  </r>
  <r>
    <s v="USR-101156"/>
    <d v="2025-05-19T00:00:00"/>
    <x v="1"/>
    <x v="3"/>
    <x v="1"/>
    <x v="0"/>
    <s v="Free"/>
    <n v="1"/>
    <n v="0"/>
    <n v="0"/>
    <x v="0"/>
    <n v="0"/>
    <n v="0"/>
    <n v="0"/>
    <m/>
    <n v="57.5"/>
  </r>
  <r>
    <s v="USR-101157"/>
    <d v="2025-01-05T00:00:00"/>
    <x v="1"/>
    <x v="1"/>
    <x v="1"/>
    <x v="3"/>
    <s v="Free"/>
    <n v="0"/>
    <n v="0"/>
    <n v="0"/>
    <x v="0"/>
    <n v="0"/>
    <n v="0"/>
    <n v="0"/>
    <m/>
    <n v="84.2"/>
  </r>
  <r>
    <s v="USR-101158"/>
    <d v="2025-03-08T00:00:00"/>
    <x v="1"/>
    <x v="3"/>
    <x v="1"/>
    <x v="2"/>
    <s v="Free"/>
    <n v="1"/>
    <n v="1"/>
    <n v="0"/>
    <x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x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x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x v="0"/>
    <n v="0"/>
    <n v="0"/>
    <n v="0"/>
    <m/>
    <n v="66.5"/>
  </r>
  <r>
    <s v="USR-101162"/>
    <d v="2025-03-27T00:00:00"/>
    <x v="1"/>
    <x v="3"/>
    <x v="1"/>
    <x v="2"/>
    <s v="Free"/>
    <n v="1"/>
    <n v="0"/>
    <n v="0"/>
    <x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x v="0"/>
    <n v="0"/>
    <n v="1"/>
    <n v="0"/>
    <m/>
    <n v="66.7"/>
  </r>
  <r>
    <s v="USR-101164"/>
    <d v="2025-02-24T00:00:00"/>
    <x v="1"/>
    <x v="0"/>
    <x v="1"/>
    <x v="2"/>
    <s v="Free"/>
    <n v="0"/>
    <n v="0"/>
    <n v="0"/>
    <x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x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x v="0"/>
    <n v="0"/>
    <n v="1"/>
    <n v="0"/>
    <m/>
    <n v="82.6"/>
  </r>
  <r>
    <s v="USR-101167"/>
    <d v="2025-05-25T00:00:00"/>
    <x v="1"/>
    <x v="2"/>
    <x v="1"/>
    <x v="2"/>
    <s v="Free"/>
    <n v="0"/>
    <n v="0"/>
    <n v="0"/>
    <x v="0"/>
    <n v="0"/>
    <n v="1"/>
    <n v="0"/>
    <m/>
    <n v="58.3"/>
  </r>
  <r>
    <s v="USR-101168"/>
    <d v="2025-02-25T00:00:00"/>
    <x v="1"/>
    <x v="1"/>
    <x v="1"/>
    <x v="3"/>
    <s v="Premium"/>
    <n v="1"/>
    <n v="1"/>
    <n v="1"/>
    <x v="1"/>
    <n v="1547.06"/>
    <n v="0"/>
    <n v="1"/>
    <n v="2"/>
    <n v="72.900000000000006"/>
  </r>
  <r>
    <s v="USR-101169"/>
    <d v="2025-03-23T00:00:00"/>
    <x v="1"/>
    <x v="3"/>
    <x v="1"/>
    <x v="4"/>
    <s v="Free"/>
    <n v="1"/>
    <n v="1"/>
    <n v="1"/>
    <x v="0"/>
    <n v="0"/>
    <n v="2"/>
    <n v="0"/>
    <m/>
    <n v="53.5"/>
  </r>
  <r>
    <s v="USR-101170"/>
    <d v="2025-04-21T00:00:00"/>
    <x v="1"/>
    <x v="1"/>
    <x v="1"/>
    <x v="3"/>
    <s v="Free"/>
    <n v="1"/>
    <n v="0"/>
    <n v="0"/>
    <x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x v="0"/>
    <n v="0"/>
    <n v="0"/>
    <n v="0"/>
    <m/>
    <n v="69.5"/>
  </r>
  <r>
    <s v="USR-101172"/>
    <d v="2025-04-25T00:00:00"/>
    <x v="1"/>
    <x v="0"/>
    <x v="0"/>
    <x v="4"/>
    <s v="Free"/>
    <n v="1"/>
    <n v="0"/>
    <n v="0"/>
    <x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x v="0"/>
    <n v="0"/>
    <n v="1"/>
    <n v="0"/>
    <m/>
    <n v="57.5"/>
  </r>
  <r>
    <s v="USR-101174"/>
    <d v="2025-03-18T00:00:00"/>
    <x v="1"/>
    <x v="3"/>
    <x v="1"/>
    <x v="0"/>
    <s v="Free"/>
    <n v="1"/>
    <n v="0"/>
    <n v="0"/>
    <x v="0"/>
    <n v="0"/>
    <n v="4"/>
    <n v="0"/>
    <m/>
    <n v="50.9"/>
  </r>
  <r>
    <s v="USR-101175"/>
    <d v="2025-01-03T00:00:00"/>
    <x v="1"/>
    <x v="3"/>
    <x v="2"/>
    <x v="1"/>
    <s v="Free"/>
    <n v="1"/>
    <n v="1"/>
    <n v="1"/>
    <x v="0"/>
    <n v="0"/>
    <n v="0"/>
    <n v="0"/>
    <m/>
    <n v="69.3"/>
  </r>
  <r>
    <s v="USR-101176"/>
    <d v="2025-02-08T00:00:00"/>
    <x v="1"/>
    <x v="1"/>
    <x v="0"/>
    <x v="1"/>
    <s v="Free"/>
    <n v="1"/>
    <n v="0"/>
    <n v="0"/>
    <x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x v="0"/>
    <n v="0"/>
    <n v="0"/>
    <n v="0"/>
    <m/>
    <n v="69.7"/>
  </r>
  <r>
    <s v="USR-101178"/>
    <d v="2025-01-16T00:00:00"/>
    <x v="1"/>
    <x v="0"/>
    <x v="1"/>
    <x v="2"/>
    <s v="Free"/>
    <n v="0"/>
    <n v="0"/>
    <n v="0"/>
    <x v="0"/>
    <n v="0"/>
    <n v="0"/>
    <n v="0"/>
    <m/>
    <n v="63.5"/>
  </r>
  <r>
    <s v="USR-101179"/>
    <d v="2025-04-04T00:00:00"/>
    <x v="1"/>
    <x v="1"/>
    <x v="0"/>
    <x v="2"/>
    <s v="Free"/>
    <n v="1"/>
    <n v="1"/>
    <n v="1"/>
    <x v="1"/>
    <n v="265.58999999999997"/>
    <n v="1"/>
    <n v="0"/>
    <n v="8"/>
    <n v="80.400000000000006"/>
  </r>
  <r>
    <s v="USR-101180"/>
    <d v="2025-01-23T00:00:00"/>
    <x v="1"/>
    <x v="0"/>
    <x v="0"/>
    <x v="2"/>
    <s v="Free"/>
    <n v="0"/>
    <n v="0"/>
    <n v="0"/>
    <x v="0"/>
    <n v="0"/>
    <n v="0"/>
    <n v="0"/>
    <m/>
    <n v="58.9"/>
  </r>
  <r>
    <s v="USR-101181"/>
    <d v="2025-03-22T00:00:00"/>
    <x v="1"/>
    <x v="3"/>
    <x v="0"/>
    <x v="2"/>
    <s v="Free"/>
    <n v="1"/>
    <n v="0"/>
    <n v="0"/>
    <x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x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x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x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x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x v="0"/>
    <n v="0"/>
    <n v="0"/>
    <n v="0"/>
    <m/>
    <n v="86.7"/>
  </r>
  <r>
    <s v="USR-101187"/>
    <d v="2025-01-15T00:00:00"/>
    <x v="1"/>
    <x v="1"/>
    <x v="0"/>
    <x v="0"/>
    <s v="Free"/>
    <n v="1"/>
    <n v="0"/>
    <n v="0"/>
    <x v="0"/>
    <n v="0"/>
    <n v="3"/>
    <n v="0"/>
    <m/>
    <n v="69"/>
  </r>
  <r>
    <s v="USR-101188"/>
    <d v="2025-01-18T00:00:00"/>
    <x v="1"/>
    <x v="0"/>
    <x v="1"/>
    <x v="2"/>
    <s v="Free"/>
    <n v="0"/>
    <n v="0"/>
    <n v="0"/>
    <x v="0"/>
    <n v="0"/>
    <n v="0"/>
    <n v="0"/>
    <m/>
    <n v="84.5"/>
  </r>
  <r>
    <s v="USR-101189"/>
    <d v="2025-04-16T00:00:00"/>
    <x v="1"/>
    <x v="2"/>
    <x v="3"/>
    <x v="3"/>
    <s v="Free"/>
    <n v="1"/>
    <n v="0"/>
    <n v="0"/>
    <x v="0"/>
    <n v="0"/>
    <n v="0"/>
    <n v="0"/>
    <m/>
    <n v="66.3"/>
  </r>
  <r>
    <s v="USR-101190"/>
    <d v="2025-02-16T00:00:00"/>
    <x v="1"/>
    <x v="2"/>
    <x v="0"/>
    <x v="2"/>
    <s v="Free"/>
    <n v="0"/>
    <n v="0"/>
    <n v="0"/>
    <x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x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x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x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x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x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x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x v="0"/>
    <n v="0"/>
    <n v="0"/>
    <n v="0"/>
    <m/>
    <n v="47.2"/>
  </r>
  <r>
    <s v="USR-101198"/>
    <d v="2025-05-23T00:00:00"/>
    <x v="1"/>
    <x v="3"/>
    <x v="2"/>
    <x v="2"/>
    <s v="Free"/>
    <n v="1"/>
    <n v="0"/>
    <n v="0"/>
    <x v="0"/>
    <n v="0"/>
    <n v="1"/>
    <n v="0"/>
    <m/>
    <n v="55"/>
  </r>
  <r>
    <s v="USR-101199"/>
    <d v="2025-04-27T00:00:00"/>
    <x v="1"/>
    <x v="1"/>
    <x v="1"/>
    <x v="3"/>
    <s v="Basic"/>
    <n v="1"/>
    <n v="1"/>
    <n v="1"/>
    <x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x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x v="0"/>
    <n v="0"/>
    <n v="1"/>
    <n v="0"/>
    <m/>
    <n v="58"/>
  </r>
  <r>
    <s v="USR-101202"/>
    <d v="2025-04-03T00:00:00"/>
    <x v="1"/>
    <x v="1"/>
    <x v="1"/>
    <x v="1"/>
    <s v="Basic"/>
    <n v="1"/>
    <n v="1"/>
    <n v="1"/>
    <x v="0"/>
    <n v="0"/>
    <n v="1"/>
    <n v="0"/>
    <m/>
    <n v="70.8"/>
  </r>
  <r>
    <s v="USR-101203"/>
    <d v="2025-02-01T00:00:00"/>
    <x v="1"/>
    <x v="2"/>
    <x v="0"/>
    <x v="2"/>
    <s v="Free"/>
    <n v="1"/>
    <n v="0"/>
    <n v="0"/>
    <x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x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x v="0"/>
    <n v="0"/>
    <n v="0"/>
    <n v="0"/>
    <m/>
    <n v="59.7"/>
  </r>
  <r>
    <s v="USR-101206"/>
    <d v="2025-01-25T00:00:00"/>
    <x v="1"/>
    <x v="2"/>
    <x v="1"/>
    <x v="4"/>
    <s v="Free"/>
    <n v="0"/>
    <n v="0"/>
    <n v="0"/>
    <x v="0"/>
    <n v="0"/>
    <n v="0"/>
    <n v="0"/>
    <m/>
    <n v="47.7"/>
  </r>
  <r>
    <s v="USR-101207"/>
    <d v="2025-03-17T00:00:00"/>
    <x v="1"/>
    <x v="0"/>
    <x v="1"/>
    <x v="1"/>
    <s v="Free"/>
    <n v="0"/>
    <n v="0"/>
    <n v="0"/>
    <x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x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x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x v="0"/>
    <n v="0"/>
    <n v="0"/>
    <n v="0"/>
    <m/>
    <n v="62"/>
  </r>
  <r>
    <s v="USR-101211"/>
    <d v="2025-05-29T00:00:00"/>
    <x v="1"/>
    <x v="3"/>
    <x v="1"/>
    <x v="1"/>
    <s v="Free"/>
    <n v="1"/>
    <n v="1"/>
    <n v="0"/>
    <x v="0"/>
    <n v="0"/>
    <n v="0"/>
    <n v="0"/>
    <m/>
    <n v="56"/>
  </r>
  <r>
    <s v="USR-101212"/>
    <d v="2025-05-30T00:00:00"/>
    <x v="1"/>
    <x v="0"/>
    <x v="1"/>
    <x v="0"/>
    <s v="Basic"/>
    <n v="1"/>
    <n v="0"/>
    <n v="0"/>
    <x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x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x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x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x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x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x v="0"/>
    <n v="0"/>
    <n v="0"/>
    <n v="0"/>
    <m/>
    <n v="52.8"/>
  </r>
  <r>
    <s v="USR-101219"/>
    <d v="2025-05-11T00:00:00"/>
    <x v="1"/>
    <x v="1"/>
    <x v="0"/>
    <x v="1"/>
    <s v="Free"/>
    <n v="0"/>
    <n v="0"/>
    <n v="0"/>
    <x v="0"/>
    <n v="0"/>
    <n v="0"/>
    <n v="0"/>
    <m/>
    <n v="58.5"/>
  </r>
  <r>
    <s v="USR-101220"/>
    <d v="2025-02-02T00:00:00"/>
    <x v="1"/>
    <x v="3"/>
    <x v="1"/>
    <x v="2"/>
    <s v="Free"/>
    <n v="1"/>
    <n v="0"/>
    <n v="0"/>
    <x v="0"/>
    <n v="0"/>
    <n v="0"/>
    <n v="0"/>
    <m/>
    <n v="55.9"/>
  </r>
  <r>
    <s v="USR-101221"/>
    <d v="2025-02-26T00:00:00"/>
    <x v="1"/>
    <x v="0"/>
    <x v="1"/>
    <x v="4"/>
    <s v="Free"/>
    <n v="1"/>
    <n v="1"/>
    <n v="1"/>
    <x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x v="1"/>
    <n v="352.42"/>
    <n v="0"/>
    <n v="0"/>
    <n v="4"/>
    <n v="58.5"/>
  </r>
  <r>
    <s v="USR-101223"/>
    <d v="2025-03-09T00:00:00"/>
    <x v="1"/>
    <x v="1"/>
    <x v="1"/>
    <x v="1"/>
    <s v="Free"/>
    <n v="0"/>
    <n v="0"/>
    <n v="0"/>
    <x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x v="0"/>
    <n v="0"/>
    <n v="1"/>
    <n v="0"/>
    <m/>
    <n v="64.8"/>
  </r>
  <r>
    <s v="USR-101225"/>
    <d v="2025-01-31T00:00:00"/>
    <x v="1"/>
    <x v="1"/>
    <x v="1"/>
    <x v="4"/>
    <s v="Free"/>
    <n v="0"/>
    <n v="0"/>
    <n v="0"/>
    <x v="0"/>
    <n v="0"/>
    <n v="0"/>
    <n v="0"/>
    <m/>
    <n v="63.3"/>
  </r>
  <r>
    <s v="USR-101226"/>
    <d v="2025-02-14T00:00:00"/>
    <x v="1"/>
    <x v="0"/>
    <x v="2"/>
    <x v="2"/>
    <s v="Basic"/>
    <n v="1"/>
    <n v="1"/>
    <n v="1"/>
    <x v="1"/>
    <n v="1074.1600000000001"/>
    <n v="0"/>
    <n v="0"/>
    <n v="8"/>
    <n v="83.7"/>
  </r>
  <r>
    <s v="USR-101227"/>
    <d v="2025-02-12T00:00:00"/>
    <x v="1"/>
    <x v="3"/>
    <x v="0"/>
    <x v="4"/>
    <s v="Basic"/>
    <n v="0"/>
    <n v="0"/>
    <n v="0"/>
    <x v="0"/>
    <n v="0"/>
    <n v="0"/>
    <n v="0"/>
    <m/>
    <n v="88.7"/>
  </r>
  <r>
    <s v="USR-101228"/>
    <d v="2025-03-23T00:00:00"/>
    <x v="1"/>
    <x v="2"/>
    <x v="3"/>
    <x v="2"/>
    <s v="Free"/>
    <n v="1"/>
    <n v="0"/>
    <n v="0"/>
    <x v="0"/>
    <n v="0"/>
    <n v="1"/>
    <n v="0"/>
    <m/>
    <n v="61.5"/>
  </r>
  <r>
    <s v="USR-101229"/>
    <d v="2025-03-18T00:00:00"/>
    <x v="1"/>
    <x v="1"/>
    <x v="1"/>
    <x v="2"/>
    <s v="Free"/>
    <n v="0"/>
    <n v="0"/>
    <n v="0"/>
    <x v="0"/>
    <n v="0"/>
    <n v="0"/>
    <n v="0"/>
    <m/>
    <n v="45.3"/>
  </r>
  <r>
    <s v="USR-101230"/>
    <d v="2025-05-17T00:00:00"/>
    <x v="1"/>
    <x v="0"/>
    <x v="1"/>
    <x v="4"/>
    <s v="Free"/>
    <n v="1"/>
    <n v="0"/>
    <n v="0"/>
    <x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x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x v="0"/>
    <n v="0"/>
    <n v="1"/>
    <n v="0"/>
    <m/>
    <n v="72.5"/>
  </r>
  <r>
    <s v="USR-101233"/>
    <d v="2025-02-25T00:00:00"/>
    <x v="1"/>
    <x v="2"/>
    <x v="0"/>
    <x v="1"/>
    <s v="Free"/>
    <n v="1"/>
    <n v="0"/>
    <n v="0"/>
    <x v="0"/>
    <n v="0"/>
    <n v="0"/>
    <n v="0"/>
    <m/>
    <n v="62.3"/>
  </r>
  <r>
    <s v="USR-101234"/>
    <d v="2025-03-01T00:00:00"/>
    <x v="1"/>
    <x v="2"/>
    <x v="0"/>
    <x v="4"/>
    <s v="Free"/>
    <n v="0"/>
    <n v="0"/>
    <n v="0"/>
    <x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x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x v="0"/>
    <n v="0"/>
    <n v="0"/>
    <n v="0"/>
    <m/>
    <n v="78.900000000000006"/>
  </r>
  <r>
    <s v="USR-101237"/>
    <d v="2025-01-25T00:00:00"/>
    <x v="1"/>
    <x v="1"/>
    <x v="0"/>
    <x v="0"/>
    <s v="Free"/>
    <n v="1"/>
    <n v="1"/>
    <n v="1"/>
    <x v="1"/>
    <n v="618.91"/>
    <n v="0"/>
    <n v="0"/>
    <n v="4"/>
    <n v="67.8"/>
  </r>
  <r>
    <s v="USR-101238"/>
    <d v="2025-04-10T00:00:00"/>
    <x v="1"/>
    <x v="2"/>
    <x v="1"/>
    <x v="1"/>
    <s v="Premium"/>
    <n v="1"/>
    <n v="0"/>
    <n v="0"/>
    <x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x v="0"/>
    <n v="0"/>
    <n v="0"/>
    <n v="0"/>
    <m/>
    <n v="67.7"/>
  </r>
  <r>
    <s v="USR-101240"/>
    <d v="2025-02-23T00:00:00"/>
    <x v="1"/>
    <x v="2"/>
    <x v="1"/>
    <x v="5"/>
    <s v="Free"/>
    <n v="0"/>
    <n v="0"/>
    <n v="0"/>
    <x v="0"/>
    <n v="0"/>
    <n v="0"/>
    <n v="0"/>
    <m/>
    <n v="88"/>
  </r>
  <r>
    <s v="USR-101241"/>
    <d v="2025-05-23T00:00:00"/>
    <x v="1"/>
    <x v="1"/>
    <x v="0"/>
    <x v="1"/>
    <s v="Basic"/>
    <n v="1"/>
    <n v="1"/>
    <n v="0"/>
    <x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x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x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x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x v="0"/>
    <n v="0"/>
    <n v="0"/>
    <n v="0"/>
    <m/>
    <n v="49.5"/>
  </r>
  <r>
    <s v="USR-101246"/>
    <d v="2025-05-08T00:00:00"/>
    <x v="1"/>
    <x v="0"/>
    <x v="2"/>
    <x v="1"/>
    <s v="Free"/>
    <n v="1"/>
    <n v="0"/>
    <n v="0"/>
    <x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x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x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x v="0"/>
    <n v="0"/>
    <n v="1"/>
    <n v="0"/>
    <m/>
    <n v="55.1"/>
  </r>
  <r>
    <s v="USR-101250"/>
    <d v="2025-01-10T00:00:00"/>
    <x v="1"/>
    <x v="1"/>
    <x v="0"/>
    <x v="4"/>
    <s v="Free"/>
    <n v="1"/>
    <n v="0"/>
    <n v="0"/>
    <x v="0"/>
    <n v="0"/>
    <n v="0"/>
    <n v="0"/>
    <m/>
    <n v="54.6"/>
  </r>
  <r>
    <s v="USR-101251"/>
    <d v="2025-02-01T00:00:00"/>
    <x v="1"/>
    <x v="2"/>
    <x v="1"/>
    <x v="1"/>
    <s v="Basic"/>
    <n v="1"/>
    <n v="1"/>
    <n v="1"/>
    <x v="1"/>
    <n v="923.67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x v="0"/>
    <n v="0"/>
    <n v="3"/>
    <n v="0"/>
    <m/>
    <n v="63.2"/>
  </r>
  <r>
    <s v="USR-101253"/>
    <d v="2025-04-25T00:00:00"/>
    <x v="1"/>
    <x v="0"/>
    <x v="1"/>
    <x v="2"/>
    <s v="Free"/>
    <n v="1"/>
    <n v="0"/>
    <n v="0"/>
    <x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x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x v="0"/>
    <n v="0"/>
    <n v="0"/>
    <n v="0"/>
    <m/>
    <n v="48.5"/>
  </r>
  <r>
    <s v="USR-101256"/>
    <d v="2025-01-27T00:00:00"/>
    <x v="1"/>
    <x v="2"/>
    <x v="0"/>
    <x v="5"/>
    <s v="Free"/>
    <n v="1"/>
    <n v="1"/>
    <n v="1"/>
    <x v="1"/>
    <n v="420.27"/>
    <n v="0"/>
    <n v="0"/>
    <n v="6"/>
    <n v="58.4"/>
  </r>
  <r>
    <s v="USR-101257"/>
    <d v="2025-04-27T00:00:00"/>
    <x v="1"/>
    <x v="1"/>
    <x v="1"/>
    <x v="2"/>
    <s v="Free"/>
    <n v="0"/>
    <n v="0"/>
    <n v="0"/>
    <x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x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x v="0"/>
    <n v="0"/>
    <n v="0"/>
    <n v="0"/>
    <m/>
    <n v="59"/>
  </r>
  <r>
    <s v="USR-101260"/>
    <d v="2025-03-21T00:00:00"/>
    <x v="1"/>
    <x v="0"/>
    <x v="1"/>
    <x v="1"/>
    <s v="Free"/>
    <n v="1"/>
    <n v="0"/>
    <n v="0"/>
    <x v="0"/>
    <n v="0"/>
    <n v="0"/>
    <n v="0"/>
    <m/>
    <n v="37"/>
  </r>
  <r>
    <s v="USR-101261"/>
    <d v="2025-04-02T00:00:00"/>
    <x v="1"/>
    <x v="0"/>
    <x v="0"/>
    <x v="2"/>
    <s v="Free"/>
    <n v="1"/>
    <n v="0"/>
    <n v="0"/>
    <x v="0"/>
    <n v="0"/>
    <n v="0"/>
    <n v="0"/>
    <m/>
    <n v="47.5"/>
  </r>
  <r>
    <s v="USR-101262"/>
    <d v="2025-02-16T00:00:00"/>
    <x v="1"/>
    <x v="1"/>
    <x v="0"/>
    <x v="1"/>
    <s v="Free"/>
    <n v="1"/>
    <n v="1"/>
    <n v="1"/>
    <x v="0"/>
    <n v="0"/>
    <n v="0"/>
    <n v="0"/>
    <m/>
    <n v="78.7"/>
  </r>
  <r>
    <s v="USR-101263"/>
    <d v="2025-02-18T00:00:00"/>
    <x v="1"/>
    <x v="0"/>
    <x v="1"/>
    <x v="4"/>
    <s v="Free"/>
    <n v="1"/>
    <n v="0"/>
    <n v="0"/>
    <x v="0"/>
    <n v="0"/>
    <n v="0"/>
    <n v="0"/>
    <m/>
    <n v="49.6"/>
  </r>
  <r>
    <s v="USR-101264"/>
    <d v="2025-01-09T00:00:00"/>
    <x v="1"/>
    <x v="2"/>
    <x v="1"/>
    <x v="1"/>
    <s v="Free"/>
    <n v="1"/>
    <n v="0"/>
    <n v="0"/>
    <x v="0"/>
    <n v="0"/>
    <n v="0"/>
    <n v="0"/>
    <m/>
    <n v="58"/>
  </r>
  <r>
    <s v="USR-101265"/>
    <d v="2025-02-18T00:00:00"/>
    <x v="1"/>
    <x v="0"/>
    <x v="0"/>
    <x v="2"/>
    <s v="Free"/>
    <n v="1"/>
    <n v="0"/>
    <n v="0"/>
    <x v="0"/>
    <n v="0"/>
    <n v="1"/>
    <n v="0"/>
    <m/>
    <n v="54.4"/>
  </r>
  <r>
    <s v="USR-101266"/>
    <d v="2025-01-10T00:00:00"/>
    <x v="1"/>
    <x v="2"/>
    <x v="1"/>
    <x v="3"/>
    <s v="Free"/>
    <n v="0"/>
    <n v="0"/>
    <n v="0"/>
    <x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x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x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x v="0"/>
    <n v="0"/>
    <n v="1"/>
    <n v="0"/>
    <m/>
    <n v="48.6"/>
  </r>
  <r>
    <s v="USR-101270"/>
    <d v="2025-03-16T00:00:00"/>
    <x v="1"/>
    <x v="2"/>
    <x v="0"/>
    <x v="4"/>
    <s v="Free"/>
    <n v="1"/>
    <n v="1"/>
    <n v="0"/>
    <x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x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x v="0"/>
    <n v="0"/>
    <n v="0"/>
    <n v="0"/>
    <m/>
    <n v="36.5"/>
  </r>
  <r>
    <s v="USR-101273"/>
    <d v="2025-05-09T00:00:00"/>
    <x v="1"/>
    <x v="1"/>
    <x v="1"/>
    <x v="4"/>
    <s v="Free"/>
    <n v="1"/>
    <n v="1"/>
    <n v="1"/>
    <x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x v="0"/>
    <n v="0"/>
    <n v="0"/>
    <n v="0"/>
    <m/>
    <n v="81.8"/>
  </r>
  <r>
    <s v="USR-101275"/>
    <d v="2025-01-24T00:00:00"/>
    <x v="1"/>
    <x v="1"/>
    <x v="1"/>
    <x v="3"/>
    <s v="Free"/>
    <n v="1"/>
    <n v="1"/>
    <n v="1"/>
    <x v="0"/>
    <n v="0"/>
    <n v="1"/>
    <n v="0"/>
    <m/>
    <n v="78.3"/>
  </r>
  <r>
    <s v="USR-101276"/>
    <d v="2025-03-03T00:00:00"/>
    <x v="1"/>
    <x v="2"/>
    <x v="1"/>
    <x v="3"/>
    <s v="Free"/>
    <n v="1"/>
    <n v="1"/>
    <n v="0"/>
    <x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x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x v="0"/>
    <n v="0"/>
    <n v="0"/>
    <n v="0"/>
    <m/>
    <n v="54.9"/>
  </r>
  <r>
    <s v="USR-101279"/>
    <d v="2025-02-10T00:00:00"/>
    <x v="1"/>
    <x v="2"/>
    <x v="0"/>
    <x v="4"/>
    <s v="Free"/>
    <n v="0"/>
    <n v="0"/>
    <n v="0"/>
    <x v="0"/>
    <n v="0"/>
    <n v="0"/>
    <n v="0"/>
    <m/>
    <n v="28.7"/>
  </r>
  <r>
    <s v="USR-101280"/>
    <d v="2025-02-11T00:00:00"/>
    <x v="1"/>
    <x v="0"/>
    <x v="1"/>
    <x v="1"/>
    <s v="Free"/>
    <n v="0"/>
    <n v="0"/>
    <n v="0"/>
    <x v="0"/>
    <n v="0"/>
    <n v="0"/>
    <n v="0"/>
    <m/>
    <n v="68.8"/>
  </r>
  <r>
    <s v="USR-101281"/>
    <d v="2025-01-21T00:00:00"/>
    <x v="1"/>
    <x v="2"/>
    <x v="0"/>
    <x v="2"/>
    <s v="Free"/>
    <n v="1"/>
    <n v="1"/>
    <n v="1"/>
    <x v="0"/>
    <n v="0"/>
    <n v="0"/>
    <n v="0"/>
    <m/>
    <n v="43.5"/>
  </r>
  <r>
    <s v="USR-101282"/>
    <d v="2025-02-02T00:00:00"/>
    <x v="1"/>
    <x v="1"/>
    <x v="0"/>
    <x v="4"/>
    <s v="Free"/>
    <n v="1"/>
    <n v="1"/>
    <n v="0"/>
    <x v="0"/>
    <n v="0"/>
    <n v="0"/>
    <n v="0"/>
    <m/>
    <n v="62.6"/>
  </r>
  <r>
    <s v="USR-101283"/>
    <d v="2025-02-02T00:00:00"/>
    <x v="1"/>
    <x v="1"/>
    <x v="1"/>
    <x v="1"/>
    <s v="Free"/>
    <n v="0"/>
    <n v="0"/>
    <n v="0"/>
    <x v="0"/>
    <n v="0"/>
    <n v="1"/>
    <n v="0"/>
    <m/>
    <n v="54.1"/>
  </r>
  <r>
    <s v="USR-101284"/>
    <d v="2025-02-26T00:00:00"/>
    <x v="1"/>
    <x v="1"/>
    <x v="2"/>
    <x v="4"/>
    <s v="Free"/>
    <n v="1"/>
    <n v="1"/>
    <n v="1"/>
    <x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x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x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x v="0"/>
    <n v="0"/>
    <n v="1"/>
    <n v="0"/>
    <m/>
    <n v="54.9"/>
  </r>
  <r>
    <s v="USR-101288"/>
    <d v="2025-03-10T00:00:00"/>
    <x v="1"/>
    <x v="2"/>
    <x v="0"/>
    <x v="1"/>
    <s v="Free"/>
    <n v="0"/>
    <n v="0"/>
    <n v="0"/>
    <x v="0"/>
    <n v="0"/>
    <n v="0"/>
    <n v="0"/>
    <m/>
    <n v="100"/>
  </r>
  <r>
    <s v="USR-101289"/>
    <d v="2025-04-16T00:00:00"/>
    <x v="1"/>
    <x v="2"/>
    <x v="0"/>
    <x v="2"/>
    <s v="Free"/>
    <n v="1"/>
    <n v="1"/>
    <n v="1"/>
    <x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x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x v="0"/>
    <n v="0"/>
    <n v="0"/>
    <n v="0"/>
    <m/>
    <n v="42.5"/>
  </r>
  <r>
    <s v="USR-101292"/>
    <d v="2025-03-30T00:00:00"/>
    <x v="1"/>
    <x v="0"/>
    <x v="1"/>
    <x v="2"/>
    <s v="Free"/>
    <n v="0"/>
    <n v="0"/>
    <n v="0"/>
    <x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x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x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x v="0"/>
    <n v="0"/>
    <n v="0"/>
    <n v="0"/>
    <m/>
    <n v="71.5"/>
  </r>
  <r>
    <s v="USR-101296"/>
    <d v="2025-05-28T00:00:00"/>
    <x v="1"/>
    <x v="3"/>
    <x v="0"/>
    <x v="4"/>
    <s v="Free"/>
    <n v="1"/>
    <n v="0"/>
    <n v="0"/>
    <x v="0"/>
    <n v="0"/>
    <n v="0"/>
    <n v="0"/>
    <m/>
    <n v="66.7"/>
  </r>
  <r>
    <s v="USR-101297"/>
    <d v="2025-05-31T00:00:00"/>
    <x v="1"/>
    <x v="3"/>
    <x v="0"/>
    <x v="3"/>
    <s v="Premium"/>
    <n v="1"/>
    <n v="1"/>
    <n v="1"/>
    <x v="1"/>
    <n v="1496.09"/>
    <n v="0"/>
    <n v="0"/>
    <n v="7"/>
    <n v="60.4"/>
  </r>
  <r>
    <s v="USR-101298"/>
    <d v="2025-05-10T00:00:00"/>
    <x v="1"/>
    <x v="0"/>
    <x v="1"/>
    <x v="3"/>
    <s v="Free"/>
    <n v="0"/>
    <n v="0"/>
    <n v="0"/>
    <x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x v="0"/>
    <n v="0"/>
    <n v="3"/>
    <n v="0"/>
    <m/>
    <m/>
  </r>
  <r>
    <s v="USR-101300"/>
    <d v="2025-01-18T00:00:00"/>
    <x v="1"/>
    <x v="3"/>
    <x v="1"/>
    <x v="1"/>
    <s v="Premium"/>
    <n v="1"/>
    <n v="0"/>
    <n v="0"/>
    <x v="0"/>
    <n v="0"/>
    <n v="0"/>
    <n v="0"/>
    <m/>
    <n v="55.2"/>
  </r>
  <r>
    <s v="USR-101301"/>
    <d v="2025-05-04T00:00:00"/>
    <x v="1"/>
    <x v="1"/>
    <x v="1"/>
    <x v="4"/>
    <s v="Free"/>
    <n v="1"/>
    <n v="0"/>
    <n v="0"/>
    <x v="0"/>
    <n v="0"/>
    <n v="0"/>
    <n v="0"/>
    <m/>
    <n v="67.8"/>
  </r>
  <r>
    <s v="USR-101302"/>
    <d v="2025-03-25T00:00:00"/>
    <x v="1"/>
    <x v="0"/>
    <x v="1"/>
    <x v="1"/>
    <s v="Free"/>
    <n v="1"/>
    <n v="0"/>
    <n v="0"/>
    <x v="0"/>
    <n v="0"/>
    <n v="2"/>
    <n v="0"/>
    <m/>
    <n v="70"/>
  </r>
  <r>
    <s v="USR-101303"/>
    <d v="2025-02-27T00:00:00"/>
    <x v="1"/>
    <x v="0"/>
    <x v="1"/>
    <x v="4"/>
    <s v="Basic"/>
    <n v="1"/>
    <n v="1"/>
    <n v="1"/>
    <x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x v="0"/>
    <n v="0"/>
    <n v="0"/>
    <n v="0"/>
    <m/>
    <n v="57"/>
  </r>
  <r>
    <s v="USR-101305"/>
    <d v="2025-04-11T00:00:00"/>
    <x v="1"/>
    <x v="2"/>
    <x v="1"/>
    <x v="4"/>
    <s v="Free"/>
    <n v="0"/>
    <n v="0"/>
    <n v="0"/>
    <x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x v="0"/>
    <n v="0"/>
    <n v="0"/>
    <n v="0"/>
    <m/>
    <n v="30.7"/>
  </r>
  <r>
    <s v="USR-101307"/>
    <d v="2025-02-12T00:00:00"/>
    <x v="1"/>
    <x v="1"/>
    <x v="0"/>
    <x v="4"/>
    <s v="Free"/>
    <n v="1"/>
    <n v="0"/>
    <n v="0"/>
    <x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x v="0"/>
    <n v="0"/>
    <n v="0"/>
    <n v="0"/>
    <m/>
    <n v="70"/>
  </r>
  <r>
    <s v="USR-101309"/>
    <d v="2025-05-25T00:00:00"/>
    <x v="1"/>
    <x v="2"/>
    <x v="0"/>
    <x v="4"/>
    <s v="Free"/>
    <n v="1"/>
    <n v="1"/>
    <n v="1"/>
    <x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x v="0"/>
    <n v="0"/>
    <n v="0"/>
    <n v="0"/>
    <m/>
    <n v="68.8"/>
  </r>
  <r>
    <s v="USR-101311"/>
    <d v="2025-01-16T00:00:00"/>
    <x v="1"/>
    <x v="0"/>
    <x v="0"/>
    <x v="1"/>
    <s v="Free"/>
    <n v="1"/>
    <n v="1"/>
    <n v="1"/>
    <x v="1"/>
    <n v="428.37"/>
    <n v="0"/>
    <n v="0"/>
    <n v="9"/>
    <n v="88.3"/>
  </r>
  <r>
    <s v="USR-101312"/>
    <d v="2025-01-19T00:00:00"/>
    <x v="1"/>
    <x v="1"/>
    <x v="0"/>
    <x v="0"/>
    <s v="Basic"/>
    <n v="0"/>
    <n v="0"/>
    <n v="0"/>
    <x v="0"/>
    <n v="0"/>
    <n v="0"/>
    <n v="0"/>
    <m/>
    <n v="83.4"/>
  </r>
  <r>
    <s v="USR-101313"/>
    <d v="2025-05-18T00:00:00"/>
    <x v="1"/>
    <x v="3"/>
    <x v="1"/>
    <x v="3"/>
    <s v="Free"/>
    <n v="0"/>
    <n v="0"/>
    <n v="0"/>
    <x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x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x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x v="0"/>
    <n v="0"/>
    <n v="0"/>
    <n v="0"/>
    <m/>
    <m/>
  </r>
  <r>
    <s v="USR-101317"/>
    <d v="2025-02-10T00:00:00"/>
    <x v="1"/>
    <x v="3"/>
    <x v="1"/>
    <x v="1"/>
    <s v="Free"/>
    <n v="1"/>
    <n v="0"/>
    <n v="0"/>
    <x v="0"/>
    <n v="0"/>
    <n v="0"/>
    <n v="0"/>
    <m/>
    <n v="32.6"/>
  </r>
  <r>
    <s v="USR-101318"/>
    <d v="2025-04-13T00:00:00"/>
    <x v="1"/>
    <x v="3"/>
    <x v="1"/>
    <x v="2"/>
    <s v="Free"/>
    <n v="1"/>
    <n v="0"/>
    <n v="0"/>
    <x v="0"/>
    <n v="0"/>
    <n v="0"/>
    <n v="0"/>
    <m/>
    <n v="73.900000000000006"/>
  </r>
  <r>
    <s v="USR-101319"/>
    <d v="2025-05-20T00:00:00"/>
    <x v="1"/>
    <x v="2"/>
    <x v="1"/>
    <x v="1"/>
    <s v="Free"/>
    <n v="1"/>
    <n v="1"/>
    <n v="1"/>
    <x v="1"/>
    <n v="444.06"/>
    <n v="0"/>
    <n v="0"/>
    <n v="9"/>
    <n v="99.9"/>
  </r>
  <r>
    <s v="USR-101320"/>
    <d v="2025-05-13T00:00:00"/>
    <x v="1"/>
    <x v="3"/>
    <x v="1"/>
    <x v="2"/>
    <s v="Basic"/>
    <n v="1"/>
    <n v="1"/>
    <n v="0"/>
    <x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x v="0"/>
    <n v="0"/>
    <n v="0"/>
    <n v="0"/>
    <m/>
    <n v="46.1"/>
  </r>
  <r>
    <s v="USR-101322"/>
    <d v="2025-03-19T00:00:00"/>
    <x v="1"/>
    <x v="1"/>
    <x v="1"/>
    <x v="1"/>
    <s v="Free"/>
    <n v="1"/>
    <n v="1"/>
    <n v="1"/>
    <x v="1"/>
    <n v="2660.21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x v="0"/>
    <n v="0"/>
    <n v="0"/>
    <n v="0"/>
    <m/>
    <n v="90"/>
  </r>
  <r>
    <s v="USR-101324"/>
    <d v="2025-02-26T00:00:00"/>
    <x v="1"/>
    <x v="3"/>
    <x v="1"/>
    <x v="0"/>
    <s v="Basic"/>
    <n v="1"/>
    <n v="0"/>
    <n v="0"/>
    <x v="0"/>
    <n v="0"/>
    <n v="1"/>
    <n v="0"/>
    <m/>
    <n v="68.8"/>
  </r>
  <r>
    <s v="USR-101325"/>
    <d v="2025-01-26T00:00:00"/>
    <x v="1"/>
    <x v="1"/>
    <x v="1"/>
    <x v="2"/>
    <s v="Free"/>
    <n v="1"/>
    <n v="0"/>
    <n v="0"/>
    <x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x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x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x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x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x v="0"/>
    <n v="0"/>
    <n v="0"/>
    <n v="0"/>
    <m/>
    <n v="85.6"/>
  </r>
  <r>
    <s v="USR-101331"/>
    <d v="2025-01-22T00:00:00"/>
    <x v="1"/>
    <x v="3"/>
    <x v="2"/>
    <x v="1"/>
    <s v="Free"/>
    <n v="0"/>
    <n v="0"/>
    <n v="0"/>
    <x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x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x v="0"/>
    <n v="0"/>
    <n v="0"/>
    <n v="0"/>
    <m/>
    <n v="73.5"/>
  </r>
  <r>
    <s v="USR-101334"/>
    <d v="2025-01-06T00:00:00"/>
    <x v="1"/>
    <x v="1"/>
    <x v="0"/>
    <x v="2"/>
    <s v="Free"/>
    <n v="0"/>
    <n v="0"/>
    <n v="0"/>
    <x v="0"/>
    <n v="0"/>
    <n v="0"/>
    <n v="0"/>
    <m/>
    <n v="62.5"/>
  </r>
  <r>
    <s v="USR-101335"/>
    <d v="2025-04-16T00:00:00"/>
    <x v="1"/>
    <x v="3"/>
    <x v="3"/>
    <x v="1"/>
    <s v="Free"/>
    <n v="1"/>
    <n v="0"/>
    <n v="0"/>
    <x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x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x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x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x v="0"/>
    <n v="0"/>
    <n v="0"/>
    <n v="0"/>
    <m/>
    <n v="67"/>
  </r>
  <r>
    <s v="USR-101340"/>
    <d v="2025-03-10T00:00:00"/>
    <x v="1"/>
    <x v="3"/>
    <x v="1"/>
    <x v="0"/>
    <s v="Free"/>
    <n v="0"/>
    <n v="0"/>
    <n v="0"/>
    <x v="0"/>
    <n v="0"/>
    <n v="0"/>
    <n v="0"/>
    <m/>
    <n v="63.6"/>
  </r>
  <r>
    <s v="USR-101341"/>
    <d v="2025-02-21T00:00:00"/>
    <x v="1"/>
    <x v="3"/>
    <x v="1"/>
    <x v="0"/>
    <s v="Free"/>
    <n v="1"/>
    <n v="1"/>
    <n v="0"/>
    <x v="0"/>
    <n v="0"/>
    <n v="1"/>
    <n v="0"/>
    <m/>
    <n v="58.4"/>
  </r>
  <r>
    <s v="USR-101342"/>
    <d v="2025-01-06T00:00:00"/>
    <x v="1"/>
    <x v="0"/>
    <x v="0"/>
    <x v="4"/>
    <s v="Free"/>
    <n v="1"/>
    <n v="0"/>
    <n v="0"/>
    <x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x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x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x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x v="0"/>
    <n v="0"/>
    <n v="0"/>
    <n v="0"/>
    <m/>
    <n v="44.7"/>
  </r>
  <r>
    <s v="USR-101347"/>
    <d v="2025-01-03T00:00:00"/>
    <x v="1"/>
    <x v="3"/>
    <x v="1"/>
    <x v="4"/>
    <s v="Free"/>
    <n v="1"/>
    <n v="1"/>
    <n v="1"/>
    <x v="0"/>
    <n v="0"/>
    <n v="1"/>
    <n v="0"/>
    <m/>
    <n v="66"/>
  </r>
  <r>
    <s v="USR-101348"/>
    <d v="2025-05-09T00:00:00"/>
    <x v="1"/>
    <x v="0"/>
    <x v="0"/>
    <x v="1"/>
    <s v="Basic"/>
    <n v="1"/>
    <n v="0"/>
    <n v="0"/>
    <x v="0"/>
    <n v="0"/>
    <n v="0"/>
    <n v="0"/>
    <m/>
    <n v="73"/>
  </r>
  <r>
    <s v="USR-101349"/>
    <d v="2025-05-22T00:00:00"/>
    <x v="1"/>
    <x v="3"/>
    <x v="1"/>
    <x v="1"/>
    <s v="Basic"/>
    <n v="1"/>
    <n v="1"/>
    <n v="1"/>
    <x v="0"/>
    <n v="0"/>
    <n v="1"/>
    <n v="0"/>
    <m/>
    <n v="72.5"/>
  </r>
  <r>
    <s v="USR-101350"/>
    <d v="2025-05-07T00:00:00"/>
    <x v="1"/>
    <x v="3"/>
    <x v="0"/>
    <x v="2"/>
    <s v="Free"/>
    <n v="1"/>
    <n v="1"/>
    <n v="1"/>
    <x v="1"/>
    <n v="323.60000000000002"/>
    <n v="0"/>
    <n v="0"/>
    <n v="6"/>
    <n v="100"/>
  </r>
  <r>
    <s v="USR-101351"/>
    <d v="2025-02-08T00:00:00"/>
    <x v="1"/>
    <x v="2"/>
    <x v="1"/>
    <x v="4"/>
    <s v="Free"/>
    <n v="0"/>
    <n v="0"/>
    <n v="0"/>
    <x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x v="0"/>
    <n v="0"/>
    <n v="0"/>
    <n v="0"/>
    <m/>
    <n v="70.2"/>
  </r>
  <r>
    <s v="USR-101353"/>
    <d v="2025-04-17T00:00:00"/>
    <x v="1"/>
    <x v="2"/>
    <x v="0"/>
    <x v="2"/>
    <s v="Free"/>
    <n v="1"/>
    <n v="0"/>
    <n v="0"/>
    <x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x v="0"/>
    <n v="0"/>
    <n v="0"/>
    <n v="0"/>
    <m/>
    <n v="54.5"/>
  </r>
  <r>
    <s v="USR-101355"/>
    <d v="2025-05-11T00:00:00"/>
    <x v="1"/>
    <x v="1"/>
    <x v="0"/>
    <x v="1"/>
    <s v="Free"/>
    <n v="1"/>
    <n v="0"/>
    <n v="0"/>
    <x v="0"/>
    <n v="0"/>
    <n v="0"/>
    <n v="0"/>
    <m/>
    <n v="63.4"/>
  </r>
  <r>
    <s v="USR-101356"/>
    <d v="2025-03-01T00:00:00"/>
    <x v="1"/>
    <x v="0"/>
    <x v="0"/>
    <x v="5"/>
    <s v="Free"/>
    <n v="1"/>
    <n v="1"/>
    <n v="1"/>
    <x v="0"/>
    <n v="0"/>
    <n v="0"/>
    <n v="0"/>
    <m/>
    <n v="84.3"/>
  </r>
  <r>
    <s v="USR-101357"/>
    <d v="2025-02-20T00:00:00"/>
    <x v="1"/>
    <x v="1"/>
    <x v="0"/>
    <x v="1"/>
    <s v="Free"/>
    <n v="1"/>
    <n v="0"/>
    <n v="0"/>
    <x v="0"/>
    <n v="0"/>
    <n v="1"/>
    <n v="0"/>
    <m/>
    <n v="55"/>
  </r>
  <r>
    <s v="USR-101358"/>
    <d v="2025-05-09T00:00:00"/>
    <x v="1"/>
    <x v="1"/>
    <x v="1"/>
    <x v="4"/>
    <s v="Free"/>
    <n v="1"/>
    <n v="0"/>
    <n v="0"/>
    <x v="0"/>
    <n v="0"/>
    <n v="0"/>
    <n v="0"/>
    <m/>
    <n v="63.6"/>
  </r>
  <r>
    <s v="USR-101359"/>
    <d v="2025-04-30T00:00:00"/>
    <x v="1"/>
    <x v="1"/>
    <x v="1"/>
    <x v="1"/>
    <s v="Free"/>
    <n v="1"/>
    <n v="0"/>
    <n v="0"/>
    <x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x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x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x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x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x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x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x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x v="0"/>
    <n v="0"/>
    <n v="2"/>
    <n v="0"/>
    <m/>
    <n v="58.5"/>
  </r>
  <r>
    <s v="USR-101368"/>
    <d v="2025-01-19T00:00:00"/>
    <x v="1"/>
    <x v="2"/>
    <x v="1"/>
    <x v="3"/>
    <s v="Free"/>
    <n v="1"/>
    <n v="0"/>
    <n v="0"/>
    <x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x v="0"/>
    <n v="0"/>
    <n v="0"/>
    <n v="0"/>
    <m/>
    <n v="62.7"/>
  </r>
  <r>
    <s v="USR-101370"/>
    <d v="2025-02-02T00:00:00"/>
    <x v="1"/>
    <x v="2"/>
    <x v="1"/>
    <x v="1"/>
    <s v="Free"/>
    <n v="0"/>
    <n v="0"/>
    <n v="0"/>
    <x v="0"/>
    <n v="0"/>
    <n v="1"/>
    <n v="0"/>
    <m/>
    <n v="50.9"/>
  </r>
  <r>
    <s v="USR-101371"/>
    <d v="2025-03-07T00:00:00"/>
    <x v="1"/>
    <x v="0"/>
    <x v="1"/>
    <x v="1"/>
    <s v="Free"/>
    <n v="0"/>
    <n v="0"/>
    <n v="0"/>
    <x v="0"/>
    <n v="0"/>
    <n v="1"/>
    <n v="0"/>
    <m/>
    <n v="60.6"/>
  </r>
  <r>
    <s v="USR-101372"/>
    <d v="2025-03-30T00:00:00"/>
    <x v="1"/>
    <x v="2"/>
    <x v="0"/>
    <x v="1"/>
    <s v="Free"/>
    <n v="1"/>
    <n v="1"/>
    <n v="1"/>
    <x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x v="0"/>
    <n v="0"/>
    <n v="0"/>
    <n v="0"/>
    <m/>
    <n v="54.4"/>
  </r>
  <r>
    <s v="USR-101374"/>
    <d v="2025-04-11T00:00:00"/>
    <x v="1"/>
    <x v="3"/>
    <x v="1"/>
    <x v="4"/>
    <s v="Free"/>
    <n v="1"/>
    <n v="0"/>
    <n v="0"/>
    <x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x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x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x v="0"/>
    <n v="0"/>
    <n v="0"/>
    <n v="0"/>
    <m/>
    <n v="52.6"/>
  </r>
  <r>
    <s v="USR-101378"/>
    <d v="2025-01-25T00:00:00"/>
    <x v="1"/>
    <x v="0"/>
    <x v="0"/>
    <x v="2"/>
    <s v="Free"/>
    <n v="1"/>
    <n v="0"/>
    <n v="0"/>
    <x v="0"/>
    <n v="0"/>
    <n v="0"/>
    <n v="0"/>
    <m/>
    <n v="75.400000000000006"/>
  </r>
  <r>
    <s v="USR-101379"/>
    <d v="2025-02-17T00:00:00"/>
    <x v="1"/>
    <x v="0"/>
    <x v="2"/>
    <x v="4"/>
    <s v="Basic"/>
    <n v="1"/>
    <n v="1"/>
    <n v="1"/>
    <x v="1"/>
    <n v="751.33"/>
    <n v="0"/>
    <n v="0"/>
    <n v="9"/>
    <n v="34"/>
  </r>
  <r>
    <s v="USR-101380"/>
    <d v="2025-04-13T00:00:00"/>
    <x v="1"/>
    <x v="3"/>
    <x v="0"/>
    <x v="1"/>
    <s v="Free"/>
    <n v="1"/>
    <n v="0"/>
    <n v="0"/>
    <x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x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x v="0"/>
    <n v="0"/>
    <n v="0"/>
    <n v="0"/>
    <m/>
    <n v="54.7"/>
  </r>
  <r>
    <s v="USR-101383"/>
    <d v="2025-05-03T00:00:00"/>
    <x v="1"/>
    <x v="2"/>
    <x v="0"/>
    <x v="2"/>
    <s v="Free"/>
    <n v="1"/>
    <n v="0"/>
    <n v="0"/>
    <x v="0"/>
    <n v="0"/>
    <n v="0"/>
    <n v="0"/>
    <m/>
    <n v="51.8"/>
  </r>
  <r>
    <s v="USR-101384"/>
    <d v="2025-04-28T00:00:00"/>
    <x v="1"/>
    <x v="1"/>
    <x v="1"/>
    <x v="2"/>
    <s v="Free"/>
    <n v="0"/>
    <n v="0"/>
    <n v="0"/>
    <x v="0"/>
    <n v="0"/>
    <n v="0"/>
    <n v="0"/>
    <m/>
    <n v="49.2"/>
  </r>
  <r>
    <s v="USR-101385"/>
    <d v="2025-01-21T00:00:00"/>
    <x v="1"/>
    <x v="1"/>
    <x v="1"/>
    <x v="1"/>
    <s v="Free"/>
    <n v="1"/>
    <n v="0"/>
    <n v="0"/>
    <x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x v="0"/>
    <n v="0"/>
    <n v="1"/>
    <n v="0"/>
    <m/>
    <n v="59.1"/>
  </r>
  <r>
    <s v="USR-101387"/>
    <d v="2025-05-21T00:00:00"/>
    <x v="1"/>
    <x v="1"/>
    <x v="0"/>
    <x v="2"/>
    <s v="Free"/>
    <n v="1"/>
    <n v="0"/>
    <n v="0"/>
    <x v="0"/>
    <n v="0"/>
    <n v="2"/>
    <n v="0"/>
    <m/>
    <n v="49.6"/>
  </r>
  <r>
    <s v="USR-101388"/>
    <d v="2025-01-05T00:00:00"/>
    <x v="1"/>
    <x v="0"/>
    <x v="1"/>
    <x v="3"/>
    <s v="Free"/>
    <n v="0"/>
    <n v="0"/>
    <n v="0"/>
    <x v="0"/>
    <n v="0"/>
    <n v="0"/>
    <n v="0"/>
    <m/>
    <n v="58.2"/>
  </r>
  <r>
    <s v="USR-101389"/>
    <d v="2025-03-06T00:00:00"/>
    <x v="1"/>
    <x v="3"/>
    <x v="0"/>
    <x v="1"/>
    <s v="Free"/>
    <n v="1"/>
    <n v="0"/>
    <n v="0"/>
    <x v="0"/>
    <n v="0"/>
    <n v="0"/>
    <n v="0"/>
    <m/>
    <n v="66.8"/>
  </r>
  <r>
    <s v="USR-101390"/>
    <d v="2025-04-18T00:00:00"/>
    <x v="1"/>
    <x v="0"/>
    <x v="1"/>
    <x v="2"/>
    <s v="Free"/>
    <n v="1"/>
    <n v="0"/>
    <n v="0"/>
    <x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x v="0"/>
    <n v="0"/>
    <n v="0"/>
    <n v="0"/>
    <m/>
    <n v="38.5"/>
  </r>
  <r>
    <s v="USR-101392"/>
    <d v="2025-02-10T00:00:00"/>
    <x v="1"/>
    <x v="2"/>
    <x v="1"/>
    <x v="2"/>
    <s v="Free"/>
    <n v="1"/>
    <n v="0"/>
    <n v="0"/>
    <x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x v="0"/>
    <n v="0"/>
    <n v="0"/>
    <n v="0"/>
    <m/>
    <n v="54"/>
  </r>
  <r>
    <s v="USR-101394"/>
    <d v="2025-05-28T00:00:00"/>
    <x v="1"/>
    <x v="2"/>
    <x v="2"/>
    <x v="1"/>
    <s v="Free"/>
    <n v="1"/>
    <n v="0"/>
    <n v="0"/>
    <x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x v="0"/>
    <n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x v="1"/>
    <n v="1009.9"/>
    <n v="0"/>
    <n v="0"/>
    <n v="6"/>
    <n v="89.7"/>
  </r>
  <r>
    <s v="USR-101397"/>
    <d v="2025-04-14T00:00:00"/>
    <x v="1"/>
    <x v="1"/>
    <x v="1"/>
    <x v="1"/>
    <s v="Free"/>
    <n v="1"/>
    <n v="0"/>
    <n v="0"/>
    <x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x v="0"/>
    <n v="0"/>
    <n v="0"/>
    <n v="0"/>
    <m/>
    <n v="67.3"/>
  </r>
  <r>
    <s v="USR-101399"/>
    <d v="2025-03-22T00:00:00"/>
    <x v="1"/>
    <x v="2"/>
    <x v="1"/>
    <x v="3"/>
    <s v="Free"/>
    <n v="1"/>
    <n v="0"/>
    <n v="0"/>
    <x v="0"/>
    <n v="0"/>
    <n v="0"/>
    <n v="0"/>
    <m/>
    <n v="54.9"/>
  </r>
  <r>
    <s v="USR-101400"/>
    <d v="2025-04-18T00:00:00"/>
    <x v="1"/>
    <x v="2"/>
    <x v="0"/>
    <x v="4"/>
    <s v="Free"/>
    <n v="0"/>
    <n v="0"/>
    <n v="0"/>
    <x v="0"/>
    <n v="0"/>
    <n v="0"/>
    <n v="0"/>
    <m/>
    <n v="55.7"/>
  </r>
  <r>
    <s v="USR-100917"/>
    <d v="2025-02-23T00:00:00"/>
    <x v="1"/>
    <x v="1"/>
    <x v="0"/>
    <x v="4"/>
    <s v="Basic"/>
    <n v="1"/>
    <n v="1"/>
    <n v="1"/>
    <x v="0"/>
    <n v="0"/>
    <n v="0"/>
    <n v="0"/>
    <m/>
    <n v="70.599999999999994"/>
  </r>
  <r>
    <s v="USR-100433"/>
    <d v="2025-02-03T00:00:00"/>
    <x v="0"/>
    <x v="0"/>
    <x v="2"/>
    <x v="0"/>
    <s v="Basic"/>
    <n v="1"/>
    <n v="0"/>
    <n v="0"/>
    <x v="0"/>
    <n v="0"/>
    <n v="0"/>
    <n v="0"/>
    <m/>
    <n v="60.9"/>
  </r>
  <r>
    <s v="USR-101362"/>
    <d v="2025-05-23T00:00:00"/>
    <x v="1"/>
    <x v="2"/>
    <x v="1"/>
    <x v="1"/>
    <s v="Basic"/>
    <n v="1"/>
    <n v="0"/>
    <n v="0"/>
    <x v="0"/>
    <n v="0"/>
    <n v="0"/>
    <n v="0"/>
    <m/>
    <n v="33.6"/>
  </r>
  <r>
    <s v="USR-100096"/>
    <d v="2025-02-05T00:00:00"/>
    <x v="0"/>
    <x v="2"/>
    <x v="1"/>
    <x v="4"/>
    <s v="Free"/>
    <n v="0"/>
    <n v="0"/>
    <n v="0"/>
    <x v="0"/>
    <n v="0"/>
    <n v="0"/>
    <n v="0"/>
    <m/>
    <n v="68"/>
  </r>
  <r>
    <s v="USR-101210"/>
    <d v="2025-02-24T00:00:00"/>
    <x v="1"/>
    <x v="1"/>
    <x v="1"/>
    <x v="1"/>
    <s v="Basic"/>
    <n v="1"/>
    <n v="0"/>
    <n v="0"/>
    <x v="0"/>
    <n v="0"/>
    <n v="0"/>
    <n v="0"/>
    <m/>
    <n v="62"/>
  </r>
  <r>
    <s v="USR-101232"/>
    <d v="2025-03-30T00:00:00"/>
    <x v="1"/>
    <x v="2"/>
    <x v="1"/>
    <x v="1"/>
    <s v="Free"/>
    <n v="1"/>
    <n v="1"/>
    <n v="1"/>
    <x v="0"/>
    <n v="0"/>
    <n v="1"/>
    <n v="0"/>
    <m/>
    <n v="72.5"/>
  </r>
  <r>
    <s v="USR-101059"/>
    <d v="2025-05-16T00:00:00"/>
    <x v="1"/>
    <x v="3"/>
    <x v="1"/>
    <x v="1"/>
    <s v="Free"/>
    <n v="1"/>
    <n v="0"/>
    <n v="0"/>
    <x v="0"/>
    <n v="0"/>
    <n v="0"/>
    <n v="0"/>
    <m/>
    <n v="70.3"/>
  </r>
  <r>
    <s v="USR-100541"/>
    <d v="2025-05-22T00:00:00"/>
    <x v="0"/>
    <x v="0"/>
    <x v="1"/>
    <x v="2"/>
    <s v="Basic"/>
    <n v="1"/>
    <n v="1"/>
    <n v="0"/>
    <x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3D7CB-6B59-47B2-B7CE-720C5D8DED3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Analysis">
  <location ref="A2:M9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user_id" fld="0" subtotal="count" baseField="0" baseItem="0"/>
    <dataField name="Count of converted_to_paid" fld="10" subtotal="count" showDataAs="percentOfRow" baseField="3" baseItem="0" numFmtId="10"/>
    <dataField name="Average of revenue_30d" fld="11" subtotal="average" baseField="3" baseItem="0"/>
    <dataField name="Average of engagement_score" fld="15" subtotal="average" baseField="3" baseItem="0"/>
  </dataFields>
  <formats count="2">
    <format dxfId="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B0D18-58C6-4334-9155-D14F07002D8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N12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user_id" fld="0" subtotal="count" baseField="0" baseItem="0"/>
    <dataField name="Average of revenue_30d" fld="11" subtotal="average" baseField="4" baseItem="0"/>
    <dataField name="Average of engagement_score" fld="15" subtotal="average" baseField="4" baseItem="0"/>
    <dataField name="Count of converted_to_paid" fld="10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65A7F-0063-4914-B966-68E2D841D8A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N11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user_id" fld="0" subtotal="count" baseField="0" baseItem="0"/>
    <dataField name="Average of revenue_30d" fld="11" subtotal="average" baseField="5" baseItem="0" numFmtId="2"/>
    <dataField name="Average of engagement_score" fld="15" subtotal="average" baseField="5" baseItem="0" numFmtId="2"/>
    <dataField name="Count of converted_to_paid" fld="1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8B8338-058B-44EE-95DB-AAD61FC41680}" name="Table5" displayName="Table5" ref="B3:C14" totalsRowShown="0">
  <autoFilter ref="B3:C14" xr:uid="{D78B8338-058B-44EE-95DB-AAD61FC41680}"/>
  <tableColumns count="2">
    <tableColumn id="1" xr3:uid="{FF9B00F1-EB2B-4A10-A5FD-7E4B40D053D3}" name="Metric"/>
    <tableColumn id="2" xr3:uid="{779BDBAF-3573-4BBF-A588-41EB78800D40}" name="Valu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8CE-AED8-412B-8B67-DCCF3DC524E7}">
  <sheetPr filterMode="1"/>
  <dimension ref="A1:P1409"/>
  <sheetViews>
    <sheetView tabSelected="1" workbookViewId="0">
      <selection activeCell="S5" sqref="S5"/>
    </sheetView>
  </sheetViews>
  <sheetFormatPr defaultRowHeight="24"/>
  <cols>
    <col min="1" max="1" width="14.8984375" customWidth="1"/>
    <col min="2" max="2" width="15" customWidth="1"/>
    <col min="3" max="3" width="13.296875" customWidth="1"/>
    <col min="8" max="8" width="14.19921875" customWidth="1"/>
    <col min="9" max="9" width="13.3984375" customWidth="1"/>
    <col min="10" max="11" width="13" customWidth="1"/>
    <col min="13" max="13" width="13.5" customWidth="1"/>
    <col min="14" max="14" width="12.19921875" customWidth="1"/>
    <col min="15" max="15" width="16" customWidth="1"/>
    <col min="16" max="16" width="18.3984375" customWidth="1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hidden="1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hidden="1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hidden="1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hidden="1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hidden="1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hidden="1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hidden="1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hidden="1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hidden="1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hidden="1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hidden="1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hidden="1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hidden="1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hidden="1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hidden="1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hidden="1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hidden="1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hidden="1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hidden="1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hidden="1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hidden="1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hidden="1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hidden="1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hidden="1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hidden="1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hidden="1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hidden="1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hidden="1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hidden="1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hidden="1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hidden="1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hidden="1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hidden="1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hidden="1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hidden="1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hidden="1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hidden="1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hidden="1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hidden="1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hidden="1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hidden="1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hidden="1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hidden="1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hidden="1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hidden="1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hidden="1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hidden="1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hidden="1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hidden="1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hidden="1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 hidden="1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 hidden="1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 hidden="1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 hidden="1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 hidden="1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B27D8CE-AED8-412B-8B67-DCCF3DC524E7}">
    <filterColumn colId="2">
      <filters>
        <filter val="Contro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zoomScale="117" workbookViewId="0">
      <selection activeCell="E5" sqref="E5"/>
    </sheetView>
  </sheetViews>
  <sheetFormatPr defaultRowHeight="24"/>
  <cols>
    <col min="1" max="1" width="42.09765625" customWidth="1"/>
    <col min="2" max="3" width="9.8984375" customWidth="1"/>
    <col min="6" max="6" width="14.19921875" bestFit="1" customWidth="1"/>
    <col min="7" max="7" width="17.19921875" bestFit="1" customWidth="1"/>
    <col min="8" max="8" width="23.3984375" bestFit="1" customWidth="1"/>
    <col min="9" max="9" width="29.09765625" bestFit="1" customWidth="1"/>
    <col min="10" max="10" width="26.3984375" bestFit="1" customWidth="1"/>
    <col min="11" max="11" width="16.296875" bestFit="1" customWidth="1"/>
    <col min="12" max="12" width="23.3984375" bestFit="1" customWidth="1"/>
    <col min="13" max="13" width="29.09765625" bestFit="1" customWidth="1"/>
    <col min="14" max="14" width="26.3984375" bestFit="1" customWidth="1"/>
    <col min="15" max="15" width="21.8984375" bestFit="1" customWidth="1"/>
    <col min="16" max="16" width="28.8984375" bestFit="1" customWidth="1"/>
    <col min="17" max="17" width="34.69921875" bestFit="1" customWidth="1"/>
    <col min="18" max="18" width="41.5" customWidth="1"/>
  </cols>
  <sheetData>
    <row r="1" spans="1:10" ht="24.6" thickBot="1">
      <c r="A1" s="5" t="s">
        <v>1433</v>
      </c>
      <c r="B1" s="5" t="s">
        <v>17</v>
      </c>
      <c r="C1" s="6" t="s">
        <v>723</v>
      </c>
    </row>
    <row r="2" spans="1:10">
      <c r="A2" s="7" t="s">
        <v>1434</v>
      </c>
      <c r="B2" s="7">
        <f>COUNTIF(Raw_Data!C:C,"Control")</f>
        <v>693</v>
      </c>
      <c r="C2" s="8">
        <f>COUNTIF(Raw_Data!C:C,"Treatment")</f>
        <v>715</v>
      </c>
    </row>
    <row r="3" spans="1:10">
      <c r="A3" s="9" t="s">
        <v>1435</v>
      </c>
      <c r="B3" s="10">
        <f>COUNTIFS(Raw_Data!C:C,"Control",Raw_Data!H:H,1)/COUNTIF(Raw_Data!C:C,"Control")</f>
        <v>0.63636363636363635</v>
      </c>
      <c r="C3" s="11">
        <f>COUNTIFS(Raw_Data!C:C,"Treatment",Raw_Data!H:H,1)/COUNTIF(Raw_Data!C:C,"Treatment")</f>
        <v>0.72587412587412592</v>
      </c>
    </row>
    <row r="4" spans="1:10">
      <c r="A4" s="12" t="s">
        <v>1436</v>
      </c>
      <c r="B4" s="13">
        <f>COUNTIFS(Raw_Data!C:C,"Control",Raw_Data!I:I,1)/COUNTIF(Raw_Data!C:C,"Control")</f>
        <v>0.25108225108225107</v>
      </c>
      <c r="C4" s="14">
        <f>COUNTIFS(Raw_Data!C:C,"Treatment",Raw_Data!I:I,1)/COUNTIF(Raw_Data!C:C,"Treatment")</f>
        <v>0.29090909090909089</v>
      </c>
    </row>
    <row r="5" spans="1:10">
      <c r="A5" s="9" t="s">
        <v>1437</v>
      </c>
      <c r="B5" s="10">
        <f>COUNTIFS(Raw_Data!C:C,"Control",Raw_Data!J:J,1)/COUNTIF(Raw_Data!C:C,"Control")</f>
        <v>0.15584415584415584</v>
      </c>
      <c r="C5" s="11">
        <f>COUNTIFS(Raw_Data!C:C,"Treatment",Raw_Data!J:J,1)/COUNTIF(Raw_Data!C:C,"Treatment")</f>
        <v>0.21258741258741259</v>
      </c>
    </row>
    <row r="6" spans="1:10">
      <c r="A6" s="12" t="s">
        <v>1438</v>
      </c>
      <c r="B6" s="13">
        <f>COUNTIFS(Raw_Data!C:C,"Control",Raw_Data!K:K,1)/COUNTIF(Raw_Data!C:C,"Control")</f>
        <v>3.1746031746031744E-2</v>
      </c>
      <c r="C6" s="14">
        <f>COUNTIFS(Raw_Data!C:C,"Treatment",Raw_Data!K:K,1)/COUNTIF(Raw_Data!C:C,"Treatment")</f>
        <v>6.9930069930069935E-2</v>
      </c>
    </row>
    <row r="7" spans="1:10">
      <c r="A7" s="9" t="s">
        <v>1439</v>
      </c>
      <c r="B7" s="15">
        <f>SUMIFS(Raw_Data!L:L,Raw_Data!C:C,"Control")/COUNTIF(Raw_Data!C:C,"Control")</f>
        <v>51.74932178932179</v>
      </c>
      <c r="C7" s="16">
        <f>SUMIFS(Raw_Data!L:L,Raw_Data!C:C,"Treatment")/COUNTIF(Raw_Data!C:C,"Treatment")</f>
        <v>53.875118881118873</v>
      </c>
    </row>
    <row r="8" spans="1:10">
      <c r="A8" s="12" t="s">
        <v>1440</v>
      </c>
      <c r="B8" s="17">
        <f>SUMIFS(Raw_Data!L:L,Raw_Data!C:C,"Control",Raw_Data!K:K,1)/COUNTIFS(Raw_Data!C:C,"Control",Raw_Data!K:K,1)</f>
        <v>1630.1036363636363</v>
      </c>
      <c r="C8" s="18">
        <f>SUMIFS(Raw_Data!L:L,Raw_Data!C:C,"Treatment",Raw_Data!K:K,1)/COUNTIFS(Raw_Data!C:C,"Treatment",Raw_Data!K:K,1)</f>
        <v>770.41419999999982</v>
      </c>
    </row>
    <row r="9" spans="1:10">
      <c r="A9" s="9" t="s">
        <v>1441</v>
      </c>
      <c r="B9" s="10">
        <f>COUNTIFS(Raw_Data!C:C,"Control",Raw_Data!N:N,1)/COUNTIF(Raw_Data!C:C,"Control")</f>
        <v>0</v>
      </c>
      <c r="C9" s="11">
        <f>COUNTIFS(Raw_Data!C:C,"Treatment",Raw_Data!N:N,1)/COUNTIF(Raw_Data!C:C,"Treatment")</f>
        <v>4.1958041958041958E-3</v>
      </c>
    </row>
    <row r="10" spans="1:10">
      <c r="A10" s="12" t="s">
        <v>1442</v>
      </c>
      <c r="B10" s="13">
        <f>COUNTIFS(Raw_Data!C:C,"Control",Raw_Data!M:M,"&gt;0")/COUNTIF(Raw_Data!C:C,"Control")</f>
        <v>0.1471861471861472</v>
      </c>
      <c r="C10" s="14">
        <f>COUNTIFS(Raw_Data!C:C,"Treatment",Raw_Data!M:M,"&gt;0")/COUNTIF(Raw_Data!C:C,"Treatment")</f>
        <v>0.24755244755244754</v>
      </c>
      <c r="I10" s="25"/>
      <c r="J10" s="25"/>
    </row>
    <row r="11" spans="1:10">
      <c r="A11" s="9" t="s">
        <v>1443</v>
      </c>
      <c r="B11" s="15">
        <f>AVERAGEIFS(Raw_Data!P:P,Raw_Data!C:C,"Control")</f>
        <v>57.026200873362491</v>
      </c>
      <c r="C11" s="16">
        <f>AVERAGEIFS(Raw_Data!P:P,Raw_Data!C:C,"Treatment")</f>
        <v>62.931966053748233</v>
      </c>
    </row>
    <row r="12" spans="1:10">
      <c r="A12" s="19" t="s">
        <v>1444</v>
      </c>
      <c r="B12" s="20">
        <f>AVERAGEIFS(Raw_Data!O:O,Raw_Data!C:C,"Control",Raw_Data!K:K,1)</f>
        <v>8.8636363636363633</v>
      </c>
      <c r="C12" s="3">
        <f>AVERAGEIFS(Raw_Data!O:O,Raw_Data!C:C,"Treatment",Raw_Data!K:K,1)</f>
        <v>6.4</v>
      </c>
    </row>
    <row r="24" spans="9:10">
      <c r="I24" s="25"/>
      <c r="J24" s="25"/>
    </row>
    <row r="40" spans="9:10">
      <c r="I40" s="25"/>
      <c r="J40" s="2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F975-2E34-404D-BF80-221245A98DF2}">
  <dimension ref="A2:M11"/>
  <sheetViews>
    <sheetView zoomScale="58" workbookViewId="0">
      <selection activeCell="D11" sqref="D11:E11"/>
    </sheetView>
  </sheetViews>
  <sheetFormatPr defaultRowHeight="24"/>
  <cols>
    <col min="1" max="1" width="17.69921875" bestFit="1" customWidth="1"/>
    <col min="2" max="2" width="16.59765625" bestFit="1" customWidth="1"/>
    <col min="3" max="3" width="26.3984375" bestFit="1" customWidth="1"/>
    <col min="4" max="4" width="23.3984375" bestFit="1" customWidth="1"/>
    <col min="5" max="5" width="29.09765625" bestFit="1" customWidth="1"/>
    <col min="6" max="6" width="16.296875" bestFit="1" customWidth="1"/>
    <col min="7" max="7" width="26.3984375" bestFit="1" customWidth="1"/>
    <col min="8" max="8" width="23.3984375" bestFit="1" customWidth="1"/>
    <col min="9" max="9" width="29.09765625" bestFit="1" customWidth="1"/>
    <col min="10" max="10" width="21.8984375" bestFit="1" customWidth="1"/>
    <col min="11" max="11" width="31.8984375" bestFit="1" customWidth="1"/>
    <col min="12" max="12" width="28.8984375" bestFit="1" customWidth="1"/>
    <col min="13" max="13" width="34.19921875" customWidth="1"/>
  </cols>
  <sheetData>
    <row r="2" spans="1:13">
      <c r="B2" s="21" t="s">
        <v>1447</v>
      </c>
      <c r="C2" s="21"/>
    </row>
    <row r="3" spans="1:13">
      <c r="B3" t="s">
        <v>17</v>
      </c>
      <c r="F3" t="s">
        <v>723</v>
      </c>
      <c r="J3" t="s">
        <v>1449</v>
      </c>
      <c r="K3" t="s">
        <v>1450</v>
      </c>
      <c r="L3" t="s">
        <v>1452</v>
      </c>
      <c r="M3" t="s">
        <v>1454</v>
      </c>
    </row>
    <row r="4" spans="1:13">
      <c r="A4" s="21" t="s">
        <v>1456</v>
      </c>
      <c r="B4" t="s">
        <v>1448</v>
      </c>
      <c r="C4" s="23" t="s">
        <v>1451</v>
      </c>
      <c r="D4" t="s">
        <v>1453</v>
      </c>
      <c r="E4" t="s">
        <v>1455</v>
      </c>
      <c r="F4" t="s">
        <v>1448</v>
      </c>
      <c r="G4" t="s">
        <v>1451</v>
      </c>
      <c r="H4" t="s">
        <v>1453</v>
      </c>
      <c r="I4" t="s">
        <v>1455</v>
      </c>
    </row>
    <row r="5" spans="1:13">
      <c r="A5" s="22" t="s">
        <v>28</v>
      </c>
      <c r="B5">
        <v>158</v>
      </c>
      <c r="C5" s="24">
        <v>0.47878787878787876</v>
      </c>
      <c r="D5">
        <v>18.11607594936709</v>
      </c>
      <c r="E5">
        <v>56.628481012658234</v>
      </c>
      <c r="F5">
        <v>172</v>
      </c>
      <c r="G5" s="24">
        <v>0.52121212121212124</v>
      </c>
      <c r="H5">
        <v>46.504651162790701</v>
      </c>
      <c r="I5">
        <v>63.187719298245639</v>
      </c>
      <c r="J5">
        <v>330</v>
      </c>
      <c r="K5" s="24">
        <v>1</v>
      </c>
      <c r="L5">
        <v>32.912545454545452</v>
      </c>
      <c r="M5">
        <v>60.037689969604898</v>
      </c>
    </row>
    <row r="6" spans="1:13">
      <c r="A6" s="22" t="s">
        <v>18</v>
      </c>
      <c r="B6">
        <v>203</v>
      </c>
      <c r="C6" s="24">
        <v>0.5300261096605744</v>
      </c>
      <c r="D6">
        <v>83.667586206896559</v>
      </c>
      <c r="E6">
        <v>57.544499999999978</v>
      </c>
      <c r="F6">
        <v>180</v>
      </c>
      <c r="G6" s="24">
        <v>0.4699738903394256</v>
      </c>
      <c r="H6">
        <v>80.967500000000001</v>
      </c>
      <c r="I6">
        <v>63.153977272727246</v>
      </c>
      <c r="J6">
        <v>383</v>
      </c>
      <c r="K6" s="24">
        <v>1</v>
      </c>
      <c r="L6">
        <v>82.398616187989575</v>
      </c>
      <c r="M6">
        <v>60.170212765957444</v>
      </c>
    </row>
    <row r="7" spans="1:13">
      <c r="A7" s="22" t="s">
        <v>32</v>
      </c>
      <c r="B7">
        <v>184</v>
      </c>
      <c r="C7" s="24">
        <v>0.5</v>
      </c>
      <c r="D7">
        <v>76.033097826086959</v>
      </c>
      <c r="E7">
        <v>56.904972375690591</v>
      </c>
      <c r="F7">
        <v>184</v>
      </c>
      <c r="G7" s="24">
        <v>0.5</v>
      </c>
      <c r="H7">
        <v>47.001684782608692</v>
      </c>
      <c r="I7">
        <v>62.158241758241765</v>
      </c>
      <c r="J7">
        <v>368</v>
      </c>
      <c r="K7" s="24">
        <v>1</v>
      </c>
      <c r="L7">
        <v>61.517391304347811</v>
      </c>
      <c r="M7">
        <v>59.538842975206634</v>
      </c>
    </row>
    <row r="8" spans="1:13">
      <c r="A8" s="22" t="s">
        <v>23</v>
      </c>
      <c r="B8">
        <v>148</v>
      </c>
      <c r="C8" s="24">
        <v>0.45259938837920488</v>
      </c>
      <c r="D8">
        <v>13.684662162162162</v>
      </c>
      <c r="E8">
        <v>56.898648648648638</v>
      </c>
      <c r="F8">
        <v>179</v>
      </c>
      <c r="G8" s="24">
        <v>0.54740061162079512</v>
      </c>
      <c r="H8">
        <v>40.77905027932961</v>
      </c>
      <c r="I8">
        <v>63.257865168539347</v>
      </c>
      <c r="J8">
        <v>327</v>
      </c>
      <c r="K8" s="24">
        <v>1</v>
      </c>
      <c r="L8">
        <v>28.516146788990824</v>
      </c>
      <c r="M8">
        <v>60.370858895705496</v>
      </c>
    </row>
    <row r="9" spans="1:13">
      <c r="A9" s="22" t="s">
        <v>1446</v>
      </c>
      <c r="B9">
        <v>693</v>
      </c>
      <c r="C9" s="24">
        <v>0.4921875</v>
      </c>
      <c r="D9">
        <v>51.74932178932179</v>
      </c>
      <c r="E9">
        <v>57.026200873362512</v>
      </c>
      <c r="F9">
        <v>715</v>
      </c>
      <c r="G9" s="24">
        <v>0.5078125</v>
      </c>
      <c r="H9">
        <v>53.87511888111888</v>
      </c>
      <c r="I9">
        <v>62.931966053748276</v>
      </c>
      <c r="J9">
        <v>1408</v>
      </c>
      <c r="K9" s="24">
        <v>1</v>
      </c>
      <c r="L9">
        <v>52.828828124999994</v>
      </c>
      <c r="M9">
        <v>60.02144906743186</v>
      </c>
    </row>
    <row r="11" spans="1:13" ht="42.6">
      <c r="D11" s="26" t="s">
        <v>1456</v>
      </c>
      <c r="E11" s="26"/>
    </row>
  </sheetData>
  <mergeCells count="1">
    <mergeCell ref="D11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32AF-98AE-4F30-AEEA-6A353C894606}">
  <dimension ref="B5:N14"/>
  <sheetViews>
    <sheetView zoomScale="54" workbookViewId="0">
      <selection activeCell="K25" sqref="K25"/>
    </sheetView>
  </sheetViews>
  <sheetFormatPr defaultRowHeight="24"/>
  <cols>
    <col min="2" max="2" width="13.59765625" bestFit="1" customWidth="1"/>
    <col min="3" max="3" width="16.59765625" bestFit="1" customWidth="1"/>
    <col min="4" max="4" width="23.3984375" bestFit="1" customWidth="1"/>
    <col min="5" max="5" width="29.09765625" bestFit="1" customWidth="1"/>
    <col min="6" max="6" width="26.3984375" bestFit="1" customWidth="1"/>
    <col min="7" max="7" width="16.296875" bestFit="1" customWidth="1"/>
    <col min="8" max="8" width="23.3984375" bestFit="1" customWidth="1"/>
    <col min="9" max="9" width="29.09765625" bestFit="1" customWidth="1"/>
    <col min="10" max="10" width="26.3984375" bestFit="1" customWidth="1"/>
    <col min="11" max="11" width="21.8984375" bestFit="1" customWidth="1"/>
    <col min="12" max="12" width="28.8984375" bestFit="1" customWidth="1"/>
    <col min="13" max="13" width="34.69921875" bestFit="1" customWidth="1"/>
    <col min="14" max="14" width="31.8984375" bestFit="1" customWidth="1"/>
  </cols>
  <sheetData>
    <row r="5" spans="2:14">
      <c r="C5" s="21" t="s">
        <v>1447</v>
      </c>
      <c r="D5" s="21"/>
    </row>
    <row r="6" spans="2:14">
      <c r="C6" t="s">
        <v>17</v>
      </c>
      <c r="G6" t="s">
        <v>723</v>
      </c>
      <c r="K6" t="s">
        <v>1449</v>
      </c>
      <c r="L6" t="s">
        <v>1452</v>
      </c>
      <c r="M6" t="s">
        <v>1454</v>
      </c>
      <c r="N6" t="s">
        <v>1450</v>
      </c>
    </row>
    <row r="7" spans="2:14">
      <c r="B7" s="21" t="s">
        <v>1445</v>
      </c>
      <c r="C7" t="s">
        <v>1448</v>
      </c>
      <c r="D7" t="s">
        <v>1453</v>
      </c>
      <c r="E7" t="s">
        <v>1455</v>
      </c>
      <c r="F7" t="s">
        <v>1451</v>
      </c>
      <c r="G7" t="s">
        <v>1448</v>
      </c>
      <c r="H7" t="s">
        <v>1453</v>
      </c>
      <c r="I7" t="s">
        <v>1455</v>
      </c>
      <c r="J7" t="s">
        <v>1451</v>
      </c>
    </row>
    <row r="8" spans="2:14">
      <c r="B8" s="22" t="s">
        <v>19</v>
      </c>
      <c r="C8">
        <v>200</v>
      </c>
      <c r="D8">
        <v>84.942949999999996</v>
      </c>
      <c r="E8">
        <v>57.21256281407036</v>
      </c>
      <c r="F8" s="24">
        <v>0.48309178743961351</v>
      </c>
      <c r="G8">
        <v>214</v>
      </c>
      <c r="H8">
        <v>40.958130841121502</v>
      </c>
      <c r="I8">
        <v>63.245283018867951</v>
      </c>
      <c r="J8" s="24">
        <v>0.51690821256038644</v>
      </c>
      <c r="K8">
        <v>414</v>
      </c>
      <c r="L8">
        <v>62.206835748792265</v>
      </c>
      <c r="M8">
        <v>60.324330900243304</v>
      </c>
      <c r="N8" s="24">
        <v>1</v>
      </c>
    </row>
    <row r="9" spans="2:14">
      <c r="B9" s="22" t="s">
        <v>24</v>
      </c>
      <c r="C9">
        <v>428</v>
      </c>
      <c r="D9">
        <v>41.84796728971962</v>
      </c>
      <c r="E9">
        <v>57.347877358490521</v>
      </c>
      <c r="F9" s="24">
        <v>0.49537037037037035</v>
      </c>
      <c r="G9">
        <v>436</v>
      </c>
      <c r="H9">
        <v>58.828348623853209</v>
      </c>
      <c r="I9">
        <v>62.783720930232597</v>
      </c>
      <c r="J9" s="24">
        <v>0.50462962962962965</v>
      </c>
      <c r="K9">
        <v>864</v>
      </c>
      <c r="L9">
        <v>50.416770833333331</v>
      </c>
      <c r="M9">
        <v>60.08489461358311</v>
      </c>
      <c r="N9" s="24">
        <v>1</v>
      </c>
    </row>
    <row r="10" spans="2:14">
      <c r="B10" s="22" t="s">
        <v>34</v>
      </c>
      <c r="C10">
        <v>56</v>
      </c>
      <c r="D10">
        <v>7.3105357142857139</v>
      </c>
      <c r="E10">
        <v>55.758181818181825</v>
      </c>
      <c r="F10" s="24">
        <v>0.5</v>
      </c>
      <c r="G10">
        <v>56</v>
      </c>
      <c r="H10">
        <v>73.330535714285716</v>
      </c>
      <c r="I10">
        <v>63.007142857142846</v>
      </c>
      <c r="J10" s="24">
        <v>0.5</v>
      </c>
      <c r="K10">
        <v>112</v>
      </c>
      <c r="L10">
        <v>40.320535714285711</v>
      </c>
      <c r="M10">
        <v>59.415315315315326</v>
      </c>
      <c r="N10" s="24">
        <v>1</v>
      </c>
    </row>
    <row r="11" spans="2:14">
      <c r="B11" s="22" t="s">
        <v>1457</v>
      </c>
      <c r="C11">
        <v>9</v>
      </c>
      <c r="D11">
        <v>61.485555555555557</v>
      </c>
      <c r="E11">
        <v>45.500000000000007</v>
      </c>
      <c r="F11" s="24">
        <v>0.5</v>
      </c>
      <c r="G11">
        <v>9</v>
      </c>
      <c r="H11">
        <v>0</v>
      </c>
      <c r="I11">
        <v>62.166666666666664</v>
      </c>
      <c r="J11" s="24">
        <v>0.5</v>
      </c>
      <c r="K11">
        <v>18</v>
      </c>
      <c r="L11">
        <v>30.742777777777778</v>
      </c>
      <c r="M11">
        <v>53.833333333333343</v>
      </c>
      <c r="N11" s="24">
        <v>1</v>
      </c>
    </row>
    <row r="12" spans="2:14">
      <c r="B12" s="22" t="s">
        <v>1446</v>
      </c>
      <c r="C12">
        <v>693</v>
      </c>
      <c r="D12">
        <v>51.74932178932179</v>
      </c>
      <c r="E12">
        <v>57.026200873362491</v>
      </c>
      <c r="F12" s="24">
        <v>0.4921875</v>
      </c>
      <c r="G12">
        <v>715</v>
      </c>
      <c r="H12">
        <v>53.875118881118887</v>
      </c>
      <c r="I12">
        <v>62.931966053748283</v>
      </c>
      <c r="J12" s="24">
        <v>0.5078125</v>
      </c>
      <c r="K12">
        <v>1408</v>
      </c>
      <c r="L12">
        <v>52.828828124999994</v>
      </c>
      <c r="M12">
        <v>60.021449067431838</v>
      </c>
      <c r="N12" s="24">
        <v>1</v>
      </c>
    </row>
    <row r="14" spans="2:14" ht="42.6">
      <c r="H14" s="26" t="s">
        <v>1458</v>
      </c>
      <c r="I14" s="26"/>
    </row>
  </sheetData>
  <mergeCells count="1">
    <mergeCell ref="H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BB40-675A-4E9A-A9F5-97A4E0ED687D}">
  <dimension ref="B2:N13"/>
  <sheetViews>
    <sheetView zoomScale="63" workbookViewId="0">
      <selection activeCell="J18" sqref="J18"/>
    </sheetView>
  </sheetViews>
  <sheetFormatPr defaultRowHeight="24"/>
  <cols>
    <col min="2" max="2" width="13.59765625" bestFit="1" customWidth="1"/>
    <col min="3" max="3" width="16.59765625" bestFit="1" customWidth="1"/>
    <col min="4" max="4" width="23.3984375" bestFit="1" customWidth="1"/>
    <col min="5" max="5" width="29.09765625" bestFit="1" customWidth="1"/>
    <col min="6" max="6" width="26.3984375" bestFit="1" customWidth="1"/>
    <col min="7" max="7" width="16.296875" bestFit="1" customWidth="1"/>
    <col min="8" max="8" width="23.3984375" bestFit="1" customWidth="1"/>
    <col min="9" max="9" width="29.09765625" bestFit="1" customWidth="1"/>
    <col min="10" max="10" width="26.3984375" bestFit="1" customWidth="1"/>
    <col min="11" max="11" width="21.8984375" bestFit="1" customWidth="1"/>
    <col min="12" max="12" width="28.8984375" bestFit="1" customWidth="1"/>
    <col min="13" max="13" width="34.69921875" bestFit="1" customWidth="1"/>
    <col min="14" max="14" width="31.8984375" bestFit="1" customWidth="1"/>
  </cols>
  <sheetData>
    <row r="2" spans="2:14">
      <c r="C2" s="21" t="s">
        <v>1447</v>
      </c>
      <c r="D2" s="21"/>
    </row>
    <row r="3" spans="2:14">
      <c r="C3" t="s">
        <v>17</v>
      </c>
      <c r="G3" t="s">
        <v>723</v>
      </c>
      <c r="K3" t="s">
        <v>1449</v>
      </c>
      <c r="L3" t="s">
        <v>1452</v>
      </c>
      <c r="M3" t="s">
        <v>1454</v>
      </c>
      <c r="N3" t="s">
        <v>1450</v>
      </c>
    </row>
    <row r="4" spans="2:14">
      <c r="B4" s="21" t="s">
        <v>1445</v>
      </c>
      <c r="C4" t="s">
        <v>1448</v>
      </c>
      <c r="D4" t="s">
        <v>1453</v>
      </c>
      <c r="E4" t="s">
        <v>1455</v>
      </c>
      <c r="F4" t="s">
        <v>1451</v>
      </c>
      <c r="G4" t="s">
        <v>1448</v>
      </c>
      <c r="H4" t="s">
        <v>1453</v>
      </c>
      <c r="I4" t="s">
        <v>1455</v>
      </c>
      <c r="J4" t="s">
        <v>1451</v>
      </c>
    </row>
    <row r="5" spans="2:14">
      <c r="B5" s="22" t="s">
        <v>20</v>
      </c>
      <c r="C5">
        <v>74</v>
      </c>
      <c r="D5" s="4">
        <v>28.720675675675675</v>
      </c>
      <c r="E5" s="4">
        <v>57.828378378378368</v>
      </c>
      <c r="F5" s="24">
        <v>0.56923076923076921</v>
      </c>
      <c r="G5">
        <v>56</v>
      </c>
      <c r="H5" s="4">
        <v>44.980892857142855</v>
      </c>
      <c r="I5" s="4">
        <v>62.241071428571438</v>
      </c>
      <c r="J5" s="24">
        <v>0.43076923076923079</v>
      </c>
      <c r="K5">
        <v>130</v>
      </c>
      <c r="L5" s="4">
        <v>35.725076923076927</v>
      </c>
      <c r="M5" s="4">
        <v>59.729230769230753</v>
      </c>
      <c r="N5" s="24">
        <v>1</v>
      </c>
    </row>
    <row r="6" spans="2:14">
      <c r="B6" s="22" t="s">
        <v>25</v>
      </c>
      <c r="C6">
        <v>246</v>
      </c>
      <c r="D6" s="4">
        <v>42.512601626016256</v>
      </c>
      <c r="E6" s="4">
        <v>58.451428571428558</v>
      </c>
      <c r="F6" s="24">
        <v>0.50513347022587274</v>
      </c>
      <c r="G6">
        <v>241</v>
      </c>
      <c r="H6" s="4">
        <v>50.706390041493769</v>
      </c>
      <c r="I6" s="4">
        <v>61.541350210970442</v>
      </c>
      <c r="J6" s="24">
        <v>0.49486652977412732</v>
      </c>
      <c r="K6">
        <v>487</v>
      </c>
      <c r="L6" s="4">
        <v>46.56743326488705</v>
      </c>
      <c r="M6" s="4">
        <v>59.970746887966818</v>
      </c>
      <c r="N6" s="24">
        <v>1</v>
      </c>
    </row>
    <row r="7" spans="2:14">
      <c r="B7" s="22" t="s">
        <v>29</v>
      </c>
      <c r="C7">
        <v>156</v>
      </c>
      <c r="D7" s="4">
        <v>10.837435897435897</v>
      </c>
      <c r="E7" s="4">
        <v>54.565806451612907</v>
      </c>
      <c r="F7" s="24">
        <v>0.46987951807228917</v>
      </c>
      <c r="G7">
        <v>176</v>
      </c>
      <c r="H7" s="4">
        <v>34.781590909090909</v>
      </c>
      <c r="I7" s="4">
        <v>62.829310344827569</v>
      </c>
      <c r="J7" s="24">
        <v>0.53012048192771088</v>
      </c>
      <c r="K7">
        <v>332</v>
      </c>
      <c r="L7" s="4">
        <v>23.530722891566267</v>
      </c>
      <c r="M7" s="4">
        <v>58.936170212765994</v>
      </c>
      <c r="N7" s="24">
        <v>1</v>
      </c>
    </row>
    <row r="8" spans="2:14">
      <c r="B8" s="22" t="s">
        <v>39</v>
      </c>
      <c r="C8">
        <v>81</v>
      </c>
      <c r="D8" s="4">
        <v>33.310987654320989</v>
      </c>
      <c r="E8" s="4">
        <v>58.372500000000016</v>
      </c>
      <c r="F8" s="24">
        <v>0.47093023255813954</v>
      </c>
      <c r="G8">
        <v>91</v>
      </c>
      <c r="H8" s="4">
        <v>103.00417582417583</v>
      </c>
      <c r="I8" s="4">
        <v>64.202222222222204</v>
      </c>
      <c r="J8" s="24">
        <v>0.52906976744186052</v>
      </c>
      <c r="K8">
        <v>172</v>
      </c>
      <c r="L8" s="4">
        <v>70.18354651162791</v>
      </c>
      <c r="M8" s="4">
        <v>61.458823529411767</v>
      </c>
      <c r="N8" s="24">
        <v>1</v>
      </c>
    </row>
    <row r="9" spans="2:14">
      <c r="B9" s="22" t="s">
        <v>41</v>
      </c>
      <c r="C9">
        <v>130</v>
      </c>
      <c r="D9" s="4">
        <v>136.08715384615383</v>
      </c>
      <c r="E9" s="4">
        <v>55.909448818897616</v>
      </c>
      <c r="F9" s="24">
        <v>0.49429657794676807</v>
      </c>
      <c r="G9">
        <v>133</v>
      </c>
      <c r="H9" s="4">
        <v>51.552105263157898</v>
      </c>
      <c r="I9" s="4">
        <v>63.819696969697006</v>
      </c>
      <c r="J9" s="24">
        <v>0.50570342205323193</v>
      </c>
      <c r="K9">
        <v>263</v>
      </c>
      <c r="L9" s="4">
        <v>93.337490494296574</v>
      </c>
      <c r="M9" s="4">
        <v>59.940926640926612</v>
      </c>
      <c r="N9" s="24">
        <v>1</v>
      </c>
    </row>
    <row r="10" spans="2:14">
      <c r="B10" s="22" t="s">
        <v>1457</v>
      </c>
      <c r="C10">
        <v>6</v>
      </c>
      <c r="D10" s="4">
        <v>199.78166666666667</v>
      </c>
      <c r="E10" s="4">
        <v>58.183333333333337</v>
      </c>
      <c r="F10" s="24">
        <v>0.25</v>
      </c>
      <c r="G10">
        <v>18</v>
      </c>
      <c r="H10" s="4">
        <v>79.453888888888898</v>
      </c>
      <c r="I10" s="4">
        <v>71.522222222222226</v>
      </c>
      <c r="J10" s="24">
        <v>0.75</v>
      </c>
      <c r="K10">
        <v>24</v>
      </c>
      <c r="L10" s="4">
        <v>109.53583333333334</v>
      </c>
      <c r="M10" s="4">
        <v>68.187500000000014</v>
      </c>
      <c r="N10" s="24">
        <v>1</v>
      </c>
    </row>
    <row r="11" spans="2:14">
      <c r="B11" s="22" t="s">
        <v>1446</v>
      </c>
      <c r="C11">
        <v>693</v>
      </c>
      <c r="D11" s="4">
        <v>51.74932178932179</v>
      </c>
      <c r="E11" s="4">
        <v>57.026200873362477</v>
      </c>
      <c r="F11" s="24">
        <v>0.4921875</v>
      </c>
      <c r="G11">
        <v>715</v>
      </c>
      <c r="H11" s="4">
        <v>53.87511888111888</v>
      </c>
      <c r="I11" s="4">
        <v>62.931966053748255</v>
      </c>
      <c r="J11" s="24">
        <v>0.5078125</v>
      </c>
      <c r="K11">
        <v>1408</v>
      </c>
      <c r="L11" s="4">
        <v>52.828828124999994</v>
      </c>
      <c r="M11" s="4">
        <v>60.02144906743186</v>
      </c>
      <c r="N11" s="24">
        <v>1</v>
      </c>
    </row>
    <row r="13" spans="2:14" ht="42.6">
      <c r="E13" s="26" t="s">
        <v>1472</v>
      </c>
      <c r="F13" s="26"/>
    </row>
  </sheetData>
  <mergeCells count="1">
    <mergeCell ref="E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4409-3C00-45EE-B076-C632543511CF}">
  <dimension ref="B1:C14"/>
  <sheetViews>
    <sheetView workbookViewId="0">
      <selection activeCell="N7" sqref="N7"/>
    </sheetView>
  </sheetViews>
  <sheetFormatPr defaultRowHeight="24"/>
  <cols>
    <col min="2" max="2" width="26.3984375" customWidth="1"/>
    <col min="3" max="3" width="14.19921875" customWidth="1"/>
  </cols>
  <sheetData>
    <row r="1" spans="2:3" ht="43.2">
      <c r="B1" s="27" t="s">
        <v>1464</v>
      </c>
      <c r="C1" s="27"/>
    </row>
    <row r="3" spans="2:3">
      <c r="B3" t="s">
        <v>1433</v>
      </c>
      <c r="C3" t="s">
        <v>1459</v>
      </c>
    </row>
    <row r="4" spans="2:3">
      <c r="B4" t="s">
        <v>1460</v>
      </c>
      <c r="C4">
        <v>693</v>
      </c>
    </row>
    <row r="5" spans="2:3">
      <c r="B5" t="s">
        <v>1461</v>
      </c>
      <c r="C5">
        <v>715</v>
      </c>
    </row>
    <row r="6" spans="2:3">
      <c r="B6" t="s">
        <v>1462</v>
      </c>
      <c r="C6">
        <v>22</v>
      </c>
    </row>
    <row r="7" spans="2:3">
      <c r="B7" t="s">
        <v>1463</v>
      </c>
      <c r="C7">
        <v>50</v>
      </c>
    </row>
    <row r="8" spans="2:3">
      <c r="B8" t="s">
        <v>1465</v>
      </c>
      <c r="C8">
        <f>C6/C4</f>
        <v>3.1746031746031744E-2</v>
      </c>
    </row>
    <row r="9" spans="2:3">
      <c r="B9" t="s">
        <v>1466</v>
      </c>
      <c r="C9">
        <f>C7/C5</f>
        <v>6.9930069930069935E-2</v>
      </c>
    </row>
    <row r="10" spans="2:3">
      <c r="B10" t="s">
        <v>1467</v>
      </c>
      <c r="C10">
        <f>(C6+C7)/(C4+C5)</f>
        <v>5.113636363636364E-2</v>
      </c>
    </row>
    <row r="11" spans="2:3">
      <c r="B11" t="s">
        <v>1468</v>
      </c>
      <c r="C11">
        <f>SQRT(C10*(1-C10)*((1/C4)+(1/C5)))</f>
        <v>1.1742174001237782E-2</v>
      </c>
    </row>
    <row r="12" spans="2:3">
      <c r="B12" t="s">
        <v>1469</v>
      </c>
      <c r="C12">
        <f>(C9-C8)/C11</f>
        <v>3.2518712616601562</v>
      </c>
    </row>
    <row r="13" spans="2:3">
      <c r="B13" t="s">
        <v>1470</v>
      </c>
      <c r="C13">
        <f>1-_xlfn.NORM.S.DIST(C12,TRUE)</f>
        <v>5.7323968694367178E-4</v>
      </c>
    </row>
    <row r="14" spans="2:3">
      <c r="B14" t="s">
        <v>1471</v>
      </c>
      <c r="C14" t="str">
        <f>IF(C13&lt;0.05,"Reject H0","Fail to Reject H0")</f>
        <v>Reject H0</v>
      </c>
    </row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Overall Summary</vt:lpstr>
      <vt:lpstr>Region Analysis	</vt:lpstr>
      <vt:lpstr>Device Analysis	</vt:lpstr>
      <vt:lpstr>Traffic Source Analysis	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Ujjwal kohli</cp:lastModifiedBy>
  <dcterms:created xsi:type="dcterms:W3CDTF">2015-06-05T18:17:20Z</dcterms:created>
  <dcterms:modified xsi:type="dcterms:W3CDTF">2026-06-26T15:45:13Z</dcterms:modified>
</cp:coreProperties>
</file>